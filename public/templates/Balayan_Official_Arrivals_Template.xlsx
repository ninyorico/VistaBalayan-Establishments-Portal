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2025" sheetId="1" r:id="rId4"/>
    <sheet state="visible" name="FEBRUARY 2025" sheetId="2" r:id="rId5"/>
    <sheet state="visible" name="MARCH 2025" sheetId="3" r:id="rId6"/>
    <sheet state="visible" name="APRIL 2025" sheetId="4" r:id="rId7"/>
    <sheet state="visible" name="MAY 2025" sheetId="5" r:id="rId8"/>
    <sheet state="visible" name="JUNE 2025" sheetId="6" r:id="rId9"/>
    <sheet state="visible" name="JULY 2025" sheetId="7" r:id="rId10"/>
    <sheet state="visible" name="AUGUST 2025" sheetId="8" r:id="rId11"/>
    <sheet state="visible" name="SEPTEMBER 2025" sheetId="9" r:id="rId12"/>
    <sheet state="visible" name="OCTOBER 2025" sheetId="10" r:id="rId13"/>
    <sheet state="visible" name="NOVEMBER 2025" sheetId="11" r:id="rId14"/>
    <sheet state="visible" name="DECEMBER 2025" sheetId="12" r:id="rId15"/>
    <sheet state="visible" name="GRAND TOTAL" sheetId="13" r:id="rId16"/>
  </sheets>
  <definedNames/>
  <calcPr/>
  <extLst>
    <ext uri="GoogleSheetsCustomDataVersion2">
      <go:sheetsCustomData xmlns:go="http://customooxmlschemas.google.com/" r:id="rId17" roundtripDataChecksum="2yawPfgHw87DzHOTaGc4d9BLOTQulUE5xLqMTpRIzv4="/>
    </ext>
  </extLst>
</workbook>
</file>

<file path=xl/sharedStrings.xml><?xml version="1.0" encoding="utf-8"?>
<sst xmlns="http://schemas.openxmlformats.org/spreadsheetml/2006/main" count="1103" uniqueCount="114">
  <si>
    <t xml:space="preserve">Tourism Attraction Visitor Record </t>
  </si>
  <si>
    <t>(VAR 1)</t>
  </si>
  <si>
    <t>( This recording form can be used instead of just counting the visitors )</t>
  </si>
  <si>
    <t>Month/Year:</t>
  </si>
  <si>
    <t>Name of City/Municipality:</t>
  </si>
  <si>
    <t>BALAYAN, BATANGAS</t>
  </si>
  <si>
    <t>Name of attraction/ Spot:</t>
  </si>
  <si>
    <t>Type of Tourism Attraction:</t>
  </si>
  <si>
    <t>DAYTOUR ARRIVALS</t>
  </si>
  <si>
    <t>Date</t>
  </si>
  <si>
    <t>*** Place of Residence</t>
  </si>
  <si>
    <t>* Grand Total
Number of
Visitors</t>
  </si>
  <si>
    <t>Accommodation Establishment</t>
  </si>
  <si>
    <t>Philippines</t>
  </si>
  <si>
    <t>Foreign Country Residence</t>
  </si>
  <si>
    <t>This province</t>
  </si>
  <si>
    <t>Other Province</t>
  </si>
  <si>
    <t>Attraction Code</t>
  </si>
  <si>
    <t>Male</t>
  </si>
  <si>
    <t>Female</t>
  </si>
  <si>
    <t>Total</t>
  </si>
  <si>
    <t xml:space="preserve">Male </t>
  </si>
  <si>
    <t>AURORA RESORT</t>
  </si>
  <si>
    <t>NO RECORD SUBMITTED</t>
  </si>
  <si>
    <t>ALTINA BEACH HOUSE</t>
  </si>
  <si>
    <t>CHRISOVA RESORT</t>
  </si>
  <si>
    <t>DARLING ANGEL RESORT</t>
  </si>
  <si>
    <t>EASTERN STAR RESORT &amp; INNS INC</t>
  </si>
  <si>
    <t>KING &amp; QUEEN RESORT</t>
  </si>
  <si>
    <t>LA GEORGINA RESORT</t>
  </si>
  <si>
    <t>LA PISCINA DI CONCEPCION RESORT</t>
  </si>
  <si>
    <t>MALABANAN SWIMMING POOL</t>
  </si>
  <si>
    <t>MY PLACE RESORT &amp; PAVILLION</t>
  </si>
  <si>
    <t xml:space="preserve">VADZ CASTILLO RESIDENCE </t>
  </si>
  <si>
    <t>VIKTORIA'S GARDEN RESORT (NOT OPERATIONAL)</t>
  </si>
  <si>
    <t>VILLA BEADOY RESORT &amp; PAVILLION</t>
  </si>
  <si>
    <t>VILLA SCARLET GARDEN RESORT</t>
  </si>
  <si>
    <t>TOURIST ATTRACTIONS</t>
  </si>
  <si>
    <t>ATHENA RIVER RESORT</t>
  </si>
  <si>
    <t>BALAYAN BAYWALK</t>
  </si>
  <si>
    <t>EL SENOR TRES CAIDAS CHAPEL</t>
  </si>
  <si>
    <t>IMMACULATE CONCEPTION PARISH</t>
  </si>
  <si>
    <t>MAGSINO CHOKDEE ECOCARE FARM</t>
  </si>
  <si>
    <t>MOLINO NATURE PARK</t>
  </si>
  <si>
    <t>EVENTS</t>
  </si>
  <si>
    <t>Total of this Month ****</t>
  </si>
  <si>
    <t>Note: *Total number must be recorded,  ** Sex &amp; ***Residence entries are optional.   Total number of this month must be reported.</t>
  </si>
  <si>
    <t>OVERNIGHT ARRIVALS</t>
  </si>
  <si>
    <r>
      <rPr>
        <rFont val="Arial Narrow"/>
        <b/>
        <color theme="1"/>
        <sz val="9.0"/>
      </rPr>
      <t xml:space="preserve">(5) 
Number of Guests Check IN 
</t>
    </r>
    <r>
      <rPr>
        <rFont val="Arial Narrow"/>
        <b/>
        <color theme="1"/>
        <sz val="8.0"/>
      </rPr>
      <t>(unit: visitors)</t>
    </r>
  </si>
  <si>
    <r>
      <rPr>
        <rFont val="Arial Narrow"/>
        <b/>
        <color theme="1"/>
        <sz val="9.0"/>
      </rPr>
      <t xml:space="preserve">(6)
Number of Guests
staying over-night
</t>
    </r>
    <r>
      <rPr>
        <rFont val="Arial Narrow"/>
        <b/>
        <color theme="1"/>
        <sz val="8.0"/>
      </rPr>
      <t>(Guest Nights)</t>
    </r>
  </si>
  <si>
    <r>
      <rPr>
        <rFont val="Arial Narrow"/>
        <b/>
        <color theme="1"/>
        <sz val="9.0"/>
      </rPr>
      <t xml:space="preserve">(7)
Number of Rooms Occupied by  Guests
</t>
    </r>
    <r>
      <rPr>
        <rFont val="Arial Narrow"/>
        <b/>
        <color theme="1"/>
        <sz val="8.0"/>
      </rPr>
      <t>(unit: rooms)</t>
    </r>
  </si>
  <si>
    <t>Average Guest/Night</t>
  </si>
  <si>
    <t>Average Room Occupancy Rate</t>
  </si>
  <si>
    <t xml:space="preserve"> </t>
  </si>
  <si>
    <t>ALVEZ LODGE &amp; RESTAURANT</t>
  </si>
  <si>
    <t>ESPINELI INN AND PAVILION</t>
  </si>
  <si>
    <t>HOTEL CASA ILUSTRE</t>
  </si>
  <si>
    <t>KALIKA BALAYAN</t>
  </si>
  <si>
    <t>MYPLACE RESORT &amp; PAVILLION</t>
  </si>
  <si>
    <t>SOLER SEA SEASIDE RESORT BALAYAN</t>
  </si>
  <si>
    <t>PALAYAN INN</t>
  </si>
  <si>
    <t xml:space="preserve">VALENTINO'S HOTEL &amp; RESTAURANT </t>
  </si>
  <si>
    <t>Average Guest-Night = Total Number of Guests nights / Total Number of Guests Check IN</t>
  </si>
  <si>
    <t>Average Room Occupancy Rate = Total No. of Rooms Occupied by the Guests during the month / Total No. of Rooms Available during the month</t>
  </si>
  <si>
    <t>Average Number of Guest per room = Total Number of Guests Nights / Total Number of Rooms Occupied by the Guests</t>
  </si>
  <si>
    <t>VADZ CASTILLO RESIDENCE</t>
  </si>
  <si>
    <t>VIKTORIA'S GARDEN RESORT</t>
  </si>
  <si>
    <t>DIVISION MEET (FEB 12-16)</t>
  </si>
  <si>
    <r>
      <rPr>
        <rFont val="Arial Narrow"/>
        <b/>
        <color theme="1"/>
        <sz val="9.0"/>
      </rPr>
      <t xml:space="preserve">(5) 
Number of Guests Check IN 
</t>
    </r>
    <r>
      <rPr>
        <rFont val="Arial Narrow"/>
        <b/>
        <color theme="1"/>
        <sz val="8.0"/>
      </rPr>
      <t>(unit: visitors)</t>
    </r>
  </si>
  <si>
    <r>
      <rPr>
        <rFont val="Arial Narrow"/>
        <b/>
        <color theme="1"/>
        <sz val="9.0"/>
      </rPr>
      <t xml:space="preserve">(6)
Number of Guests
staying over-night
</t>
    </r>
    <r>
      <rPr>
        <rFont val="Arial Narrow"/>
        <b/>
        <color theme="1"/>
        <sz val="8.0"/>
      </rPr>
      <t>(Guest Nights)</t>
    </r>
  </si>
  <si>
    <r>
      <rPr>
        <rFont val="Arial Narrow"/>
        <b/>
        <color theme="1"/>
        <sz val="9.0"/>
      </rPr>
      <t xml:space="preserve">(7)
Number of Rooms Occupied by  Guests
</t>
    </r>
    <r>
      <rPr>
        <rFont val="Arial Narrow"/>
        <b/>
        <color theme="1"/>
        <sz val="8.0"/>
      </rPr>
      <t>(unit: rooms)</t>
    </r>
  </si>
  <si>
    <t xml:space="preserve">MOLINO NATURE PARK </t>
  </si>
  <si>
    <r>
      <rPr>
        <rFont val="Arial Narrow"/>
        <b/>
        <color theme="1"/>
        <sz val="9.0"/>
      </rPr>
      <t xml:space="preserve">(5) 
Number of Guests Check IN 
</t>
    </r>
    <r>
      <rPr>
        <rFont val="Arial Narrow"/>
        <b/>
        <color theme="1"/>
        <sz val="8.0"/>
      </rPr>
      <t>(unit: visitors)</t>
    </r>
  </si>
  <si>
    <r>
      <rPr>
        <rFont val="Arial Narrow"/>
        <b/>
        <color theme="1"/>
        <sz val="9.0"/>
      </rPr>
      <t xml:space="preserve">(6)
Number of Guests
staying over-night
</t>
    </r>
    <r>
      <rPr>
        <rFont val="Arial Narrow"/>
        <b/>
        <color theme="1"/>
        <sz val="8.0"/>
      </rPr>
      <t>(Guest Nights)</t>
    </r>
  </si>
  <si>
    <r>
      <rPr>
        <rFont val="Arial Narrow"/>
        <b/>
        <color theme="1"/>
        <sz val="9.0"/>
      </rPr>
      <t xml:space="preserve">(7)
Number of Rooms Occupied by  Guests
</t>
    </r>
    <r>
      <rPr>
        <rFont val="Arial Narrow"/>
        <b/>
        <color theme="1"/>
        <sz val="8.0"/>
      </rPr>
      <t>(unit: rooms)</t>
    </r>
  </si>
  <si>
    <r>
      <rPr>
        <rFont val="Arial Narrow"/>
        <b/>
        <color theme="1"/>
        <sz val="9.0"/>
      </rPr>
      <t xml:space="preserve">(5) 
Number of Guests Check IN 
</t>
    </r>
    <r>
      <rPr>
        <rFont val="Arial Narrow"/>
        <b/>
        <color theme="1"/>
        <sz val="8.0"/>
      </rPr>
      <t>(unit: visitors)</t>
    </r>
  </si>
  <si>
    <r>
      <rPr>
        <rFont val="Arial Narrow"/>
        <b/>
        <color theme="1"/>
        <sz val="9.0"/>
      </rPr>
      <t xml:space="preserve">(6)
Number of Guests
staying over-night
</t>
    </r>
    <r>
      <rPr>
        <rFont val="Arial Narrow"/>
        <b/>
        <color theme="1"/>
        <sz val="8.0"/>
      </rPr>
      <t>(Guest Nights)</t>
    </r>
  </si>
  <si>
    <r>
      <rPr>
        <rFont val="Arial Narrow"/>
        <b/>
        <color theme="1"/>
        <sz val="9.0"/>
      </rPr>
      <t xml:space="preserve">(7)
Number of Rooms Occupied by  Guests
</t>
    </r>
    <r>
      <rPr>
        <rFont val="Arial Narrow"/>
        <b/>
        <color theme="1"/>
        <sz val="8.0"/>
      </rPr>
      <t>(unit: rooms)</t>
    </r>
  </si>
  <si>
    <r>
      <rPr>
        <rFont val="Arial Narrow"/>
        <b/>
        <color theme="1"/>
        <sz val="9.0"/>
      </rPr>
      <t xml:space="preserve">(5) 
Number of Guests Check IN 
</t>
    </r>
    <r>
      <rPr>
        <rFont val="Arial Narrow"/>
        <b/>
        <color theme="1"/>
        <sz val="8.0"/>
      </rPr>
      <t>(unit: visitors)</t>
    </r>
  </si>
  <si>
    <r>
      <rPr>
        <rFont val="Arial Narrow"/>
        <b/>
        <color theme="1"/>
        <sz val="9.0"/>
      </rPr>
      <t xml:space="preserve">(6)
Number of Guests
staying over-night
</t>
    </r>
    <r>
      <rPr>
        <rFont val="Arial Narrow"/>
        <b/>
        <color theme="1"/>
        <sz val="8.0"/>
      </rPr>
      <t>(Guest Nights)</t>
    </r>
  </si>
  <si>
    <r>
      <rPr>
        <rFont val="Arial Narrow"/>
        <b/>
        <color theme="1"/>
        <sz val="9.0"/>
      </rPr>
      <t xml:space="preserve">(7)
Number of Rooms Occupied by  Guests
</t>
    </r>
    <r>
      <rPr>
        <rFont val="Arial Narrow"/>
        <b/>
        <color theme="1"/>
        <sz val="8.0"/>
      </rPr>
      <t>(unit: rooms)</t>
    </r>
  </si>
  <si>
    <t>PARADA NG LECHON FESTIVAL</t>
  </si>
  <si>
    <r>
      <rPr>
        <rFont val="Arial Narrow"/>
        <b/>
        <color theme="1"/>
        <sz val="9.0"/>
      </rPr>
      <t xml:space="preserve">(5) 
Number of Guests Check IN 
</t>
    </r>
    <r>
      <rPr>
        <rFont val="Arial Narrow"/>
        <b/>
        <color theme="1"/>
        <sz val="8.0"/>
      </rPr>
      <t>(unit: visitors)</t>
    </r>
  </si>
  <si>
    <r>
      <rPr>
        <rFont val="Arial Narrow"/>
        <b/>
        <color theme="1"/>
        <sz val="9.0"/>
      </rPr>
      <t xml:space="preserve">(6)
Number of Guests
staying over-night
</t>
    </r>
    <r>
      <rPr>
        <rFont val="Arial Narrow"/>
        <b/>
        <color theme="1"/>
        <sz val="8.0"/>
      </rPr>
      <t>(Guest Nights)</t>
    </r>
  </si>
  <si>
    <r>
      <rPr>
        <rFont val="Arial Narrow"/>
        <b/>
        <color theme="1"/>
        <sz val="9.0"/>
      </rPr>
      <t xml:space="preserve">(7)
Number of Rooms Occupied by  Guests
</t>
    </r>
    <r>
      <rPr>
        <rFont val="Arial Narrow"/>
        <b/>
        <color theme="1"/>
        <sz val="8.0"/>
      </rPr>
      <t>(unit: rooms)</t>
    </r>
  </si>
  <si>
    <t>SOGGIORNS</t>
  </si>
  <si>
    <r>
      <rPr>
        <rFont val="Arial Narrow"/>
        <b/>
        <color theme="1"/>
        <sz val="9.0"/>
      </rPr>
      <t xml:space="preserve">(5) 
Number of Guests Check IN 
</t>
    </r>
    <r>
      <rPr>
        <rFont val="Arial Narrow"/>
        <b/>
        <color theme="1"/>
        <sz val="8.0"/>
      </rPr>
      <t>(unit: visitors)</t>
    </r>
  </si>
  <si>
    <r>
      <rPr>
        <rFont val="Arial Narrow"/>
        <b/>
        <color theme="1"/>
        <sz val="9.0"/>
      </rPr>
      <t xml:space="preserve">(6)
Number of Guests
staying over-night
</t>
    </r>
    <r>
      <rPr>
        <rFont val="Arial Narrow"/>
        <b/>
        <color theme="1"/>
        <sz val="8.0"/>
      </rPr>
      <t>(Guest Nights)</t>
    </r>
  </si>
  <si>
    <r>
      <rPr>
        <rFont val="Arial Narrow"/>
        <b/>
        <color theme="1"/>
        <sz val="9.0"/>
      </rPr>
      <t xml:space="preserve">(7)
Number of Rooms Occupied by  Guests
</t>
    </r>
    <r>
      <rPr>
        <rFont val="Arial Narrow"/>
        <b/>
        <color theme="1"/>
        <sz val="8.0"/>
      </rPr>
      <t>(unit: rooms)</t>
    </r>
  </si>
  <si>
    <r>
      <rPr>
        <rFont val="Arial Narrow"/>
        <b/>
        <color theme="1"/>
        <sz val="9.0"/>
      </rPr>
      <t xml:space="preserve">(5) 
Number of Guests Check IN 
</t>
    </r>
    <r>
      <rPr>
        <rFont val="Arial Narrow"/>
        <b/>
        <color theme="1"/>
        <sz val="8.0"/>
      </rPr>
      <t>(unit: visitors)</t>
    </r>
  </si>
  <si>
    <r>
      <rPr>
        <rFont val="Arial Narrow"/>
        <b/>
        <color theme="1"/>
        <sz val="9.0"/>
      </rPr>
      <t xml:space="preserve">(6)
Number of Guests
staying over-night
</t>
    </r>
    <r>
      <rPr>
        <rFont val="Arial Narrow"/>
        <b/>
        <color theme="1"/>
        <sz val="8.0"/>
      </rPr>
      <t>(Guest Nights)</t>
    </r>
  </si>
  <si>
    <r>
      <rPr>
        <rFont val="Arial Narrow"/>
        <b/>
        <color theme="1"/>
        <sz val="9.0"/>
      </rPr>
      <t xml:space="preserve">(7)
Number of Rooms Occupied by  Guests
</t>
    </r>
    <r>
      <rPr>
        <rFont val="Arial Narrow"/>
        <b/>
        <color theme="1"/>
        <sz val="8.0"/>
      </rPr>
      <t>(unit: rooms)</t>
    </r>
  </si>
  <si>
    <r>
      <rPr>
        <rFont val="Arial Narrow"/>
        <b/>
        <color theme="1"/>
        <sz val="9.0"/>
      </rPr>
      <t xml:space="preserve">(5) 
Number of Guests Check IN 
</t>
    </r>
    <r>
      <rPr>
        <rFont val="Arial Narrow"/>
        <b/>
        <color theme="1"/>
        <sz val="8.0"/>
      </rPr>
      <t>(unit: visitors)</t>
    </r>
  </si>
  <si>
    <r>
      <rPr>
        <rFont val="Arial Narrow"/>
        <b/>
        <color theme="1"/>
        <sz val="9.0"/>
      </rPr>
      <t xml:space="preserve">(6)
Number of Guests
staying over-night
</t>
    </r>
    <r>
      <rPr>
        <rFont val="Arial Narrow"/>
        <b/>
        <color theme="1"/>
        <sz val="8.0"/>
      </rPr>
      <t>(Guest Nights)</t>
    </r>
  </si>
  <si>
    <r>
      <rPr>
        <rFont val="Arial Narrow"/>
        <b/>
        <color theme="1"/>
        <sz val="9.0"/>
      </rPr>
      <t xml:space="preserve">(7)
Number of Rooms Occupied by  Guests
</t>
    </r>
    <r>
      <rPr>
        <rFont val="Arial Narrow"/>
        <b/>
        <color theme="1"/>
        <sz val="8.0"/>
      </rPr>
      <t>(unit: rooms)</t>
    </r>
  </si>
  <si>
    <t>ESTAB. TEMPORY CLOSED</t>
  </si>
  <si>
    <r>
      <rPr>
        <rFont val="Arial Narrow"/>
        <b/>
        <color theme="1"/>
        <sz val="9.0"/>
      </rPr>
      <t xml:space="preserve">(5) 
Number of Guests Check IN 
</t>
    </r>
    <r>
      <rPr>
        <rFont val="Arial Narrow"/>
        <b/>
        <color theme="1"/>
        <sz val="8.0"/>
      </rPr>
      <t>(unit: visitors)</t>
    </r>
  </si>
  <si>
    <r>
      <rPr>
        <rFont val="Arial Narrow"/>
        <b/>
        <color theme="1"/>
        <sz val="9.0"/>
      </rPr>
      <t xml:space="preserve">(6)
Number of Guests
staying over-night
</t>
    </r>
    <r>
      <rPr>
        <rFont val="Arial Narrow"/>
        <b/>
        <color theme="1"/>
        <sz val="8.0"/>
      </rPr>
      <t>(Guest Nights)</t>
    </r>
  </si>
  <si>
    <r>
      <rPr>
        <rFont val="Arial Narrow"/>
        <b/>
        <color theme="1"/>
        <sz val="9.0"/>
      </rPr>
      <t xml:space="preserve">(7)
Number of Rooms Occupied by  Guests
</t>
    </r>
    <r>
      <rPr>
        <rFont val="Arial Narrow"/>
        <b/>
        <color theme="1"/>
        <sz val="8.0"/>
      </rPr>
      <t>(unit: rooms)</t>
    </r>
  </si>
  <si>
    <t xml:space="preserve">Zumba Fest </t>
  </si>
  <si>
    <r>
      <rPr>
        <rFont val="Arial Narrow"/>
        <b/>
        <color theme="1"/>
        <sz val="9.0"/>
      </rPr>
      <t xml:space="preserve">(5) 
Number of Guests Check IN 
</t>
    </r>
    <r>
      <rPr>
        <rFont val="Arial Narrow"/>
        <b/>
        <color theme="1"/>
        <sz val="8.0"/>
      </rPr>
      <t>(unit: visitors)</t>
    </r>
  </si>
  <si>
    <r>
      <rPr>
        <rFont val="Arial Narrow"/>
        <b/>
        <color theme="1"/>
        <sz val="9.0"/>
      </rPr>
      <t xml:space="preserve">(6)
Number of Guests
staying over-night
</t>
    </r>
    <r>
      <rPr>
        <rFont val="Arial Narrow"/>
        <b/>
        <color theme="1"/>
        <sz val="8.0"/>
      </rPr>
      <t>(Guest Nights)</t>
    </r>
  </si>
  <si>
    <r>
      <rPr>
        <rFont val="Arial Narrow"/>
        <b/>
        <color theme="1"/>
        <sz val="9.0"/>
      </rPr>
      <t xml:space="preserve">(7)
Number of Rooms Occupied by  Guests
</t>
    </r>
    <r>
      <rPr>
        <rFont val="Arial Narrow"/>
        <b/>
        <color theme="1"/>
        <sz val="8.0"/>
      </rPr>
      <t>(unit: rooms)</t>
    </r>
  </si>
  <si>
    <t>KALLE BASA FESTIVAL</t>
  </si>
  <si>
    <r>
      <rPr>
        <rFont val="Arial Narrow"/>
        <b/>
        <color theme="1"/>
        <sz val="9.0"/>
      </rPr>
      <t xml:space="preserve">(5) 
Number of Guests Check IN 
</t>
    </r>
    <r>
      <rPr>
        <rFont val="Arial Narrow"/>
        <b/>
        <color theme="1"/>
        <sz val="8.0"/>
      </rPr>
      <t>(unit: visitors)</t>
    </r>
  </si>
  <si>
    <r>
      <rPr>
        <rFont val="Arial Narrow"/>
        <b/>
        <color theme="1"/>
        <sz val="9.0"/>
      </rPr>
      <t xml:space="preserve">(6)
Number of Guests
staying over-night
</t>
    </r>
    <r>
      <rPr>
        <rFont val="Arial Narrow"/>
        <b/>
        <color theme="1"/>
        <sz val="8.0"/>
      </rPr>
      <t>(Guest Nights)</t>
    </r>
  </si>
  <si>
    <r>
      <rPr>
        <rFont val="Arial Narrow"/>
        <b/>
        <color theme="1"/>
        <sz val="9.0"/>
      </rPr>
      <t xml:space="preserve">(7)
Number of Rooms Occupied by  Guests
</t>
    </r>
    <r>
      <rPr>
        <rFont val="Arial Narrow"/>
        <b/>
        <color theme="1"/>
        <sz val="8.0"/>
      </rPr>
      <t>(unit: rooms)</t>
    </r>
  </si>
  <si>
    <t>Total of this Month</t>
  </si>
  <si>
    <t>Daytour</t>
  </si>
  <si>
    <t>Overnight</t>
  </si>
  <si>
    <t>All Total</t>
  </si>
  <si>
    <t>MALE</t>
  </si>
  <si>
    <t>FEMALE</t>
  </si>
  <si>
    <t>TOTAL M AND 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</si>
</sst>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yyyy"/>
  </numFmts>
  <fonts count="21">
    <font>
      <sz val="10.0"/>
      <color rgb="FF000000"/>
      <name val="Arial"/>
      <scheme val="minor"/>
    </font>
    <font>
      <sz val="11.0"/>
      <color theme="1"/>
      <name val="MS PGothic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 Narrow"/>
    </font>
    <font>
      <sz val="10.0"/>
      <color theme="1"/>
      <name val="Arial Narrow"/>
    </font>
    <font/>
    <font>
      <b/>
      <sz val="11.0"/>
      <color theme="1"/>
      <name val="Arial Narrow"/>
    </font>
    <font>
      <b/>
      <sz val="14.0"/>
      <color theme="1"/>
      <name val="Arial Narrow"/>
    </font>
    <font>
      <b/>
      <sz val="10.0"/>
      <color theme="1"/>
      <name val="Arial Narrow"/>
    </font>
    <font>
      <b/>
      <sz val="9.0"/>
      <color theme="1"/>
      <name val="Arial Narrow"/>
    </font>
    <font>
      <b/>
      <sz val="10.0"/>
      <color theme="1"/>
      <name val="Arial"/>
    </font>
    <font>
      <color theme="1"/>
      <name val="Arial Narrow"/>
    </font>
    <font>
      <color theme="1"/>
      <name val="Arial"/>
    </font>
    <font>
      <b/>
      <i/>
      <sz val="10.0"/>
      <color theme="1"/>
      <name val="Arial"/>
    </font>
    <font>
      <b/>
      <color theme="1"/>
      <name val="Arial"/>
    </font>
    <font>
      <sz val="10.0"/>
      <color rgb="FF000000"/>
      <name val="Arial Narrow"/>
    </font>
    <font>
      <sz val="9.0"/>
      <color theme="1"/>
      <name val="Arial Narrow"/>
    </font>
    <font>
      <sz val="10.0"/>
      <color theme="1"/>
      <name val="Arial"/>
    </font>
    <font>
      <b/>
      <sz val="9.0"/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A2C4C9"/>
        <bgColor rgb="FFA2C4C9"/>
      </patternFill>
    </fill>
  </fills>
  <borders count="74">
    <border/>
    <border>
      <left/>
      <right/>
      <top/>
      <bottom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bottom/>
    </border>
    <border>
      <left/>
      <right/>
      <bottom/>
    </border>
    <border>
      <left/>
      <right/>
      <top/>
    </border>
    <border>
      <left style="medium">
        <color rgb="FF000000"/>
      </left>
      <right style="thin">
        <color rgb="FF000000"/>
      </right>
      <top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bottom style="medium">
        <color rgb="FF000000"/>
      </bottom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Border="1" applyFont="1"/>
    <xf borderId="1" fillId="2" fontId="4" numFmtId="0" xfId="0" applyAlignment="1" applyBorder="1" applyFont="1">
      <alignment horizontal="right"/>
    </xf>
    <xf borderId="2" fillId="2" fontId="5" numFmtId="17" xfId="0" applyAlignment="1" applyBorder="1" applyFont="1" applyNumberFormat="1">
      <alignment horizontal="center" vertical="center"/>
    </xf>
    <xf borderId="3" fillId="0" fontId="6" numFmtId="0" xfId="0" applyBorder="1" applyFont="1"/>
    <xf borderId="4" fillId="2" fontId="5" numFmtId="0" xfId="0" applyBorder="1" applyFont="1"/>
    <xf borderId="1" fillId="2" fontId="5" numFmtId="0" xfId="0" applyBorder="1" applyFont="1"/>
    <xf borderId="5" fillId="2" fontId="5" numFmtId="0" xfId="0" applyBorder="1" applyFont="1"/>
    <xf borderId="1" fillId="2" fontId="4" numFmtId="0" xfId="0" applyBorder="1" applyFont="1"/>
    <xf borderId="6" fillId="2" fontId="5" numFmtId="0" xfId="0" applyBorder="1" applyFont="1"/>
    <xf borderId="7" fillId="2" fontId="7" numFmtId="0" xfId="0" applyAlignment="1" applyBorder="1" applyFont="1">
      <alignment horizontal="center"/>
    </xf>
    <xf borderId="8" fillId="0" fontId="6" numFmtId="0" xfId="0" applyBorder="1" applyFont="1"/>
    <xf borderId="9" fillId="3" fontId="7" numFmtId="0" xfId="0" applyAlignment="1" applyBorder="1" applyFill="1" applyFont="1">
      <alignment horizontal="center" vertical="center"/>
    </xf>
    <xf borderId="10" fillId="0" fontId="6" numFmtId="0" xfId="0" applyBorder="1" applyFont="1"/>
    <xf borderId="11" fillId="3" fontId="7" numFmtId="0" xfId="0" applyAlignment="1" applyBorder="1" applyFont="1">
      <alignment horizontal="center"/>
    </xf>
    <xf borderId="12" fillId="3" fontId="7" numFmtId="0" xfId="0" applyAlignment="1" applyBorder="1" applyFont="1">
      <alignment horizontal="center"/>
    </xf>
    <xf borderId="13" fillId="0" fontId="6" numFmtId="0" xfId="0" applyBorder="1" applyFont="1"/>
    <xf borderId="14" fillId="0" fontId="6" numFmtId="0" xfId="0" applyBorder="1" applyFont="1"/>
    <xf borderId="15" fillId="3" fontId="7" numFmtId="0" xfId="0" applyAlignment="1" applyBorder="1" applyFont="1">
      <alignment horizontal="center" shrinkToFit="0" vertical="center" wrapText="1"/>
    </xf>
    <xf borderId="16" fillId="0" fontId="6" numFmtId="0" xfId="0" applyBorder="1" applyFont="1"/>
    <xf borderId="17" fillId="0" fontId="6" numFmtId="0" xfId="0" applyBorder="1" applyFont="1"/>
    <xf borderId="18" fillId="3" fontId="7" numFmtId="0" xfId="0" applyAlignment="1" applyBorder="1" applyFont="1">
      <alignment horizontal="center" vertical="center"/>
    </xf>
    <xf borderId="19" fillId="3" fontId="8" numFmtId="0" xfId="0" applyAlignment="1" applyBorder="1" applyFont="1">
      <alignment horizontal="center" shrinkToFit="0" vertical="center" wrapText="1"/>
    </xf>
    <xf borderId="20" fillId="3" fontId="9" numFmtId="0" xfId="0" applyAlignment="1" applyBorder="1" applyFont="1">
      <alignment horizontal="center" shrinkToFit="0" wrapText="1"/>
    </xf>
    <xf borderId="21" fillId="3" fontId="9" numFmtId="0" xfId="0" applyAlignment="1" applyBorder="1" applyFont="1">
      <alignment horizontal="center" shrinkToFit="0" wrapText="1"/>
    </xf>
    <xf borderId="22" fillId="0" fontId="6" numFmtId="0" xfId="0" applyBorder="1" applyFont="1"/>
    <xf borderId="23" fillId="3" fontId="7" numFmtId="0" xfId="0" applyAlignment="1" applyBorder="1" applyFont="1">
      <alignment horizontal="center" shrinkToFit="0" vertical="center" wrapText="1"/>
    </xf>
    <xf borderId="24" fillId="0" fontId="6" numFmtId="0" xfId="0" applyBorder="1" applyFont="1"/>
    <xf borderId="25" fillId="0" fontId="6" numFmtId="0" xfId="0" applyBorder="1" applyFont="1"/>
    <xf borderId="26" fillId="0" fontId="6" numFmtId="0" xfId="0" applyBorder="1" applyFont="1"/>
    <xf borderId="27" fillId="0" fontId="6" numFmtId="0" xfId="0" applyBorder="1" applyFont="1"/>
    <xf borderId="28" fillId="0" fontId="6" numFmtId="0" xfId="0" applyBorder="1" applyFont="1"/>
    <xf borderId="29" fillId="0" fontId="6" numFmtId="0" xfId="0" applyBorder="1" applyFont="1"/>
    <xf borderId="30" fillId="3" fontId="10" numFmtId="0" xfId="0" applyAlignment="1" applyBorder="1" applyFont="1">
      <alignment horizontal="center" shrinkToFit="0" vertical="center" wrapText="1"/>
    </xf>
    <xf borderId="31" fillId="3" fontId="10" numFmtId="0" xfId="0" applyAlignment="1" applyBorder="1" applyFont="1">
      <alignment horizontal="center" shrinkToFit="0" vertical="center" wrapText="1"/>
    </xf>
    <xf borderId="32" fillId="0" fontId="6" numFmtId="0" xfId="0" applyBorder="1" applyFont="1"/>
    <xf borderId="33" fillId="0" fontId="6" numFmtId="0" xfId="0" applyBorder="1" applyFont="1"/>
    <xf borderId="34" fillId="0" fontId="6" numFmtId="0" xfId="0" applyBorder="1" applyFont="1"/>
    <xf borderId="35" fillId="0" fontId="6" numFmtId="0" xfId="0" applyBorder="1" applyFont="1"/>
    <xf borderId="36" fillId="0" fontId="6" numFmtId="0" xfId="0" applyBorder="1" applyFont="1"/>
    <xf borderId="37" fillId="0" fontId="6" numFmtId="0" xfId="0" applyBorder="1" applyFont="1"/>
    <xf borderId="38" fillId="0" fontId="6" numFmtId="0" xfId="0" applyBorder="1" applyFont="1"/>
    <xf borderId="39" fillId="0" fontId="6" numFmtId="0" xfId="0" applyBorder="1" applyFont="1"/>
    <xf borderId="40" fillId="0" fontId="6" numFmtId="0" xfId="0" applyBorder="1" applyFont="1"/>
    <xf borderId="41" fillId="0" fontId="6" numFmtId="0" xfId="0" applyBorder="1" applyFont="1"/>
    <xf borderId="1" fillId="3" fontId="9" numFmtId="0" xfId="0" applyAlignment="1" applyBorder="1" applyFont="1">
      <alignment horizontal="center" shrinkToFit="0" vertical="center" wrapText="1"/>
    </xf>
    <xf borderId="42" fillId="3" fontId="9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vertical="center"/>
    </xf>
    <xf borderId="11" fillId="3" fontId="9" numFmtId="0" xfId="0" applyAlignment="1" applyBorder="1" applyFont="1">
      <alignment horizontal="center" vertical="center"/>
    </xf>
    <xf borderId="43" fillId="3" fontId="9" numFmtId="0" xfId="0" applyAlignment="1" applyBorder="1" applyFont="1">
      <alignment horizontal="center" vertical="center"/>
    </xf>
    <xf borderId="44" fillId="3" fontId="9" numFmtId="0" xfId="0" applyAlignment="1" applyBorder="1" applyFont="1">
      <alignment horizontal="center" vertical="center"/>
    </xf>
    <xf borderId="45" fillId="2" fontId="1" numFmtId="0" xfId="0" applyAlignment="1" applyBorder="1" applyFont="1">
      <alignment horizontal="center"/>
    </xf>
    <xf borderId="45" fillId="2" fontId="11" numFmtId="0" xfId="0" applyAlignment="1" applyBorder="1" applyFont="1">
      <alignment shrinkToFit="0" wrapText="1"/>
    </xf>
    <xf borderId="46" fillId="2" fontId="12" numFmtId="0" xfId="0" applyAlignment="1" applyBorder="1" applyFont="1">
      <alignment horizontal="center"/>
    </xf>
    <xf borderId="47" fillId="0" fontId="6" numFmtId="0" xfId="0" applyBorder="1" applyFont="1"/>
    <xf borderId="45" fillId="2" fontId="5" numFmtId="0" xfId="0" applyAlignment="1" applyBorder="1" applyFont="1">
      <alignment horizontal="center" vertical="center"/>
    </xf>
    <xf borderId="45" fillId="2" fontId="5" numFmtId="0" xfId="0" applyAlignment="1" applyBorder="1" applyFont="1">
      <alignment horizontal="center"/>
    </xf>
    <xf borderId="48" fillId="2" fontId="5" numFmtId="0" xfId="0" applyAlignment="1" applyBorder="1" applyFont="1">
      <alignment horizontal="center" vertical="center"/>
    </xf>
    <xf borderId="49" fillId="2" fontId="1" numFmtId="0" xfId="0" applyAlignment="1" applyBorder="1" applyFont="1">
      <alignment horizontal="center"/>
    </xf>
    <xf borderId="1" fillId="2" fontId="11" numFmtId="0" xfId="0" applyAlignment="1" applyBorder="1" applyFont="1">
      <alignment shrinkToFit="0" wrapText="1"/>
    </xf>
    <xf borderId="50" fillId="2" fontId="12" numFmtId="0" xfId="0" applyAlignment="1" applyBorder="1" applyFont="1">
      <alignment horizontal="center"/>
    </xf>
    <xf borderId="51" fillId="0" fontId="6" numFmtId="0" xfId="0" applyBorder="1" applyFont="1"/>
    <xf borderId="49" fillId="2" fontId="5" numFmtId="0" xfId="0" applyAlignment="1" applyBorder="1" applyFont="1">
      <alignment horizontal="center" vertical="center"/>
    </xf>
    <xf borderId="52" fillId="2" fontId="5" numFmtId="0" xfId="0" applyAlignment="1" applyBorder="1" applyFont="1">
      <alignment horizontal="center" vertical="center"/>
    </xf>
    <xf borderId="52" fillId="2" fontId="5" numFmtId="0" xfId="0" applyAlignment="1" applyBorder="1" applyFont="1">
      <alignment horizontal="center"/>
    </xf>
    <xf borderId="53" fillId="2" fontId="1" numFmtId="0" xfId="0" applyAlignment="1" applyBorder="1" applyFont="1">
      <alignment horizontal="center"/>
    </xf>
    <xf borderId="46" fillId="2" fontId="11" numFmtId="0" xfId="0" applyAlignment="1" applyBorder="1" applyFont="1">
      <alignment shrinkToFit="0" wrapText="1"/>
    </xf>
    <xf borderId="45" fillId="2" fontId="9" numFmtId="0" xfId="0" applyAlignment="1" applyBorder="1" applyFont="1">
      <alignment horizontal="center" vertical="center"/>
    </xf>
    <xf borderId="53" fillId="2" fontId="5" numFmtId="0" xfId="0" applyAlignment="1" applyBorder="1" applyFont="1">
      <alignment horizontal="center" vertical="center"/>
    </xf>
    <xf borderId="54" fillId="2" fontId="5" numFmtId="0" xfId="0" applyAlignment="1" applyBorder="1" applyFont="1">
      <alignment horizontal="center" vertical="center"/>
    </xf>
    <xf borderId="55" fillId="2" fontId="5" numFmtId="0" xfId="0" applyAlignment="1" applyBorder="1" applyFont="1">
      <alignment horizontal="center" vertical="center"/>
    </xf>
    <xf borderId="56" fillId="2" fontId="11" numFmtId="0" xfId="0" applyAlignment="1" applyBorder="1" applyFont="1">
      <alignment shrinkToFit="0" wrapText="1"/>
    </xf>
    <xf borderId="57" fillId="2" fontId="5" numFmtId="0" xfId="0" applyAlignment="1" applyBorder="1" applyFont="1">
      <alignment horizontal="center" vertical="center"/>
    </xf>
    <xf borderId="58" fillId="2" fontId="5" numFmtId="0" xfId="0" applyAlignment="1" applyBorder="1" applyFont="1">
      <alignment horizontal="center" vertical="center"/>
    </xf>
    <xf borderId="59" fillId="2" fontId="11" numFmtId="0" xfId="0" applyAlignment="1" applyBorder="1" applyFont="1">
      <alignment shrinkToFit="0" wrapText="1"/>
    </xf>
    <xf borderId="45" fillId="2" fontId="12" numFmtId="0" xfId="0" applyAlignment="1" applyBorder="1" applyFont="1">
      <alignment horizontal="center"/>
    </xf>
    <xf borderId="60" fillId="0" fontId="13" numFmtId="0" xfId="0" applyAlignment="1" applyBorder="1" applyFont="1">
      <alignment vertical="bottom"/>
    </xf>
    <xf borderId="7" fillId="2" fontId="1" numFmtId="0" xfId="0" applyBorder="1" applyFont="1"/>
    <xf borderId="47" fillId="2" fontId="5" numFmtId="0" xfId="0" applyAlignment="1" applyBorder="1" applyFont="1">
      <alignment horizontal="center" vertical="center"/>
    </xf>
    <xf borderId="45" fillId="2" fontId="5" numFmtId="0" xfId="0" applyAlignment="1" applyBorder="1" applyFont="1">
      <alignment horizontal="center" readingOrder="0" vertical="center"/>
    </xf>
    <xf borderId="35" fillId="2" fontId="5" numFmtId="0" xfId="0" applyAlignment="1" applyBorder="1" applyFont="1">
      <alignment horizontal="center" vertical="center"/>
    </xf>
    <xf borderId="53" fillId="3" fontId="1" numFmtId="0" xfId="0" applyAlignment="1" applyBorder="1" applyFont="1">
      <alignment horizontal="center"/>
    </xf>
    <xf borderId="45" fillId="3" fontId="14" numFmtId="0" xfId="0" applyAlignment="1" applyBorder="1" applyFont="1">
      <alignment horizontal="center" shrinkToFit="0" wrapText="1"/>
    </xf>
    <xf borderId="58" fillId="3" fontId="5" numFmtId="0" xfId="0" applyAlignment="1" applyBorder="1" applyFont="1">
      <alignment horizontal="center" vertical="center"/>
    </xf>
    <xf borderId="53" fillId="3" fontId="5" numFmtId="0" xfId="0" applyAlignment="1" applyBorder="1" applyFont="1">
      <alignment horizontal="center" vertical="center"/>
    </xf>
    <xf borderId="45" fillId="3" fontId="5" numFmtId="0" xfId="0" applyAlignment="1" applyBorder="1" applyFont="1">
      <alignment horizontal="center" vertical="center"/>
    </xf>
    <xf borderId="35" fillId="3" fontId="5" numFmtId="0" xfId="0" applyAlignment="1" applyBorder="1" applyFont="1">
      <alignment horizontal="center" vertical="center"/>
    </xf>
    <xf borderId="45" fillId="3" fontId="1" numFmtId="0" xfId="0" applyAlignment="1" applyBorder="1" applyFont="1">
      <alignment horizontal="center"/>
    </xf>
    <xf borderId="47" fillId="0" fontId="15" numFmtId="0" xfId="0" applyAlignment="1" applyBorder="1" applyFont="1">
      <alignment shrinkToFit="0" vertical="bottom" wrapText="1"/>
    </xf>
    <xf borderId="45" fillId="2" fontId="16" numFmtId="0" xfId="0" applyAlignment="1" applyBorder="1" applyFont="1">
      <alignment horizontal="center"/>
    </xf>
    <xf borderId="60" fillId="4" fontId="15" numFmtId="0" xfId="0" applyAlignment="1" applyBorder="1" applyFill="1" applyFont="1">
      <alignment shrinkToFit="0" vertical="bottom" wrapText="1"/>
    </xf>
    <xf borderId="58" fillId="4" fontId="5" numFmtId="0" xfId="0" applyAlignment="1" applyBorder="1" applyFont="1">
      <alignment horizontal="center" vertical="center"/>
    </xf>
    <xf borderId="53" fillId="4" fontId="5" numFmtId="3" xfId="0" applyAlignment="1" applyBorder="1" applyFont="1" applyNumberFormat="1">
      <alignment horizontal="center" vertical="center"/>
    </xf>
    <xf borderId="45" fillId="4" fontId="5" numFmtId="3" xfId="0" applyAlignment="1" applyBorder="1" applyFont="1" applyNumberFormat="1">
      <alignment horizontal="center" vertical="center"/>
    </xf>
    <xf borderId="45" fillId="4" fontId="5" numFmtId="3" xfId="0" applyAlignment="1" applyBorder="1" applyFont="1" applyNumberFormat="1">
      <alignment horizontal="center" readingOrder="0" vertical="center"/>
    </xf>
    <xf borderId="47" fillId="4" fontId="5" numFmtId="0" xfId="0" applyAlignment="1" applyBorder="1" applyFont="1">
      <alignment horizontal="center" vertical="center"/>
    </xf>
    <xf borderId="45" fillId="4" fontId="5" numFmtId="0" xfId="0" applyAlignment="1" applyBorder="1" applyFont="1">
      <alignment horizontal="center" vertical="center"/>
    </xf>
    <xf borderId="45" fillId="4" fontId="1" numFmtId="0" xfId="0" applyAlignment="1" applyBorder="1" applyFont="1">
      <alignment horizontal="center"/>
    </xf>
    <xf borderId="48" fillId="4" fontId="5" numFmtId="3" xfId="0" applyAlignment="1" applyBorder="1" applyFont="1" applyNumberFormat="1">
      <alignment horizontal="center" vertical="center"/>
    </xf>
    <xf borderId="60" fillId="0" fontId="15" numFmtId="0" xfId="0" applyAlignment="1" applyBorder="1" applyFont="1">
      <alignment shrinkToFit="0" vertical="bottom" wrapText="1"/>
    </xf>
    <xf borderId="53" fillId="2" fontId="5" numFmtId="3" xfId="0" applyAlignment="1" applyBorder="1" applyFont="1" applyNumberFormat="1">
      <alignment horizontal="center" vertical="center"/>
    </xf>
    <xf borderId="45" fillId="2" fontId="5" numFmtId="3" xfId="0" applyAlignment="1" applyBorder="1" applyFont="1" applyNumberFormat="1">
      <alignment horizontal="center" vertical="center"/>
    </xf>
    <xf borderId="45" fillId="2" fontId="5" numFmtId="3" xfId="0" applyAlignment="1" applyBorder="1" applyFont="1" applyNumberFormat="1">
      <alignment horizontal="center" readingOrder="0" vertical="center"/>
    </xf>
    <xf borderId="48" fillId="2" fontId="5" numFmtId="3" xfId="0" applyAlignment="1" applyBorder="1" applyFont="1" applyNumberFormat="1">
      <alignment horizontal="center" vertical="center"/>
    </xf>
    <xf borderId="41" fillId="0" fontId="15" numFmtId="0" xfId="0" applyAlignment="1" applyBorder="1" applyFont="1">
      <alignment shrinkToFit="0" vertical="bottom" wrapText="1"/>
    </xf>
    <xf borderId="53" fillId="2" fontId="5" numFmtId="0" xfId="0" applyAlignment="1" applyBorder="1" applyFont="1">
      <alignment horizontal="center" readingOrder="0" vertical="center"/>
    </xf>
    <xf borderId="35" fillId="2" fontId="5" numFmtId="3" xfId="0" applyAlignment="1" applyBorder="1" applyFont="1" applyNumberFormat="1">
      <alignment horizontal="center" readingOrder="0" vertical="center"/>
    </xf>
    <xf borderId="0" fillId="2" fontId="16" numFmtId="0" xfId="0" applyAlignment="1" applyFont="1">
      <alignment horizontal="center"/>
    </xf>
    <xf borderId="61" fillId="2" fontId="5" numFmtId="0" xfId="0" applyAlignment="1" applyBorder="1" applyFont="1">
      <alignment horizontal="center" vertical="center"/>
    </xf>
    <xf borderId="62" fillId="2" fontId="5" numFmtId="0" xfId="0" applyAlignment="1" applyBorder="1" applyFont="1">
      <alignment horizontal="center" vertical="center"/>
    </xf>
    <xf borderId="63" fillId="5" fontId="11" numFmtId="0" xfId="0" applyAlignment="1" applyBorder="1" applyFill="1" applyFont="1">
      <alignment horizontal="center" shrinkToFit="0" wrapText="1"/>
    </xf>
    <xf borderId="64" fillId="0" fontId="6" numFmtId="0" xfId="0" applyBorder="1" applyFont="1"/>
    <xf borderId="65" fillId="5" fontId="1" numFmtId="0" xfId="0" applyBorder="1" applyFont="1"/>
    <xf borderId="66" fillId="5" fontId="1" numFmtId="0" xfId="0" applyAlignment="1" applyBorder="1" applyFont="1">
      <alignment horizontal="center"/>
    </xf>
    <xf borderId="40" fillId="5" fontId="1" numFmtId="0" xfId="0" applyAlignment="1" applyBorder="1" applyFont="1">
      <alignment horizontal="center"/>
    </xf>
    <xf borderId="1" fillId="2" fontId="17" numFmtId="0" xfId="0" applyBorder="1" applyFont="1"/>
    <xf borderId="46" fillId="6" fontId="7" numFmtId="0" xfId="0" applyAlignment="1" applyBorder="1" applyFill="1" applyFont="1">
      <alignment horizontal="center"/>
    </xf>
    <xf borderId="1" fillId="2" fontId="7" numFmtId="0" xfId="0" applyAlignment="1" applyBorder="1" applyFont="1">
      <alignment horizontal="center"/>
    </xf>
    <xf borderId="46" fillId="6" fontId="7" numFmtId="0" xfId="0" applyAlignment="1" applyBorder="1" applyFont="1">
      <alignment horizontal="center" vertical="center"/>
    </xf>
    <xf borderId="46" fillId="6" fontId="7" numFmtId="164" xfId="0" applyAlignment="1" applyBorder="1" applyFont="1" applyNumberFormat="1">
      <alignment horizontal="center" readingOrder="0"/>
    </xf>
    <xf borderId="19" fillId="6" fontId="7" numFmtId="0" xfId="0" applyAlignment="1" applyBorder="1" applyFont="1">
      <alignment horizontal="center" vertical="center"/>
    </xf>
    <xf borderId="19" fillId="6" fontId="8" numFmtId="0" xfId="0" applyAlignment="1" applyBorder="1" applyFont="1">
      <alignment horizontal="center" shrinkToFit="0" vertical="center" wrapText="1"/>
    </xf>
    <xf borderId="19" fillId="6" fontId="9" numFmtId="0" xfId="0" applyAlignment="1" applyBorder="1" applyFont="1">
      <alignment horizontal="center" shrinkToFit="0" vertical="center" wrapText="1"/>
    </xf>
    <xf borderId="19" fillId="6" fontId="10" numFmtId="0" xfId="0" applyAlignment="1" applyBorder="1" applyFont="1">
      <alignment horizontal="center" shrinkToFit="0" wrapText="1"/>
    </xf>
    <xf borderId="19" fillId="6" fontId="10" numFmtId="0" xfId="0" applyAlignment="1" applyBorder="1" applyFont="1">
      <alignment horizontal="center" shrinkToFit="0" vertical="center" wrapText="1"/>
    </xf>
    <xf borderId="45" fillId="2" fontId="11" numFmtId="0" xfId="0" applyAlignment="1" applyBorder="1" applyFont="1">
      <alignment horizontal="left"/>
    </xf>
    <xf borderId="67" fillId="2" fontId="18" numFmtId="0" xfId="0" applyBorder="1" applyFont="1"/>
    <xf borderId="56" fillId="2" fontId="1" numFmtId="0" xfId="0" applyAlignment="1" applyBorder="1" applyFont="1">
      <alignment horizontal="center"/>
    </xf>
    <xf borderId="56" fillId="2" fontId="18" numFmtId="0" xfId="0" applyBorder="1" applyFont="1"/>
    <xf borderId="56" fillId="2" fontId="18" numFmtId="0" xfId="0" applyAlignment="1" applyBorder="1" applyFont="1">
      <alignment horizontal="center"/>
    </xf>
    <xf borderId="1" fillId="2" fontId="18" numFmtId="0" xfId="0" applyBorder="1" applyFont="1"/>
    <xf borderId="45" fillId="2" fontId="11" numFmtId="0" xfId="0" applyAlignment="1" applyBorder="1" applyFont="1">
      <alignment horizontal="left" shrinkToFit="0" wrapText="1"/>
    </xf>
    <xf borderId="1" fillId="2" fontId="1" numFmtId="0" xfId="0" applyAlignment="1" applyBorder="1" applyFont="1">
      <alignment horizontal="center"/>
    </xf>
    <xf borderId="45" fillId="2" fontId="1" numFmtId="0" xfId="0" applyBorder="1" applyFont="1"/>
    <xf borderId="46" fillId="2" fontId="5" numFmtId="0" xfId="0" applyAlignment="1" applyBorder="1" applyFont="1">
      <alignment horizontal="center" vertical="center"/>
    </xf>
    <xf borderId="45" fillId="2" fontId="19" numFmtId="0" xfId="0" applyAlignment="1" applyBorder="1" applyFont="1">
      <alignment horizontal="left" shrinkToFit="0" wrapText="1"/>
    </xf>
    <xf borderId="46" fillId="5" fontId="11" numFmtId="0" xfId="0" applyAlignment="1" applyBorder="1" applyFont="1">
      <alignment horizontal="center" shrinkToFit="0" wrapText="1"/>
    </xf>
    <xf borderId="45" fillId="5" fontId="1" numFmtId="0" xfId="0" applyBorder="1" applyFont="1"/>
    <xf borderId="45" fillId="5" fontId="1" numFmtId="0" xfId="0" applyAlignment="1" applyBorder="1" applyFont="1">
      <alignment horizontal="center"/>
    </xf>
    <xf borderId="2" fillId="2" fontId="5" numFmtId="17" xfId="0" applyAlignment="1" applyBorder="1" applyFont="1" applyNumberFormat="1">
      <alignment horizontal="center" readingOrder="0" vertical="center"/>
    </xf>
    <xf borderId="57" fillId="2" fontId="13" numFmtId="0" xfId="0" applyBorder="1" applyFont="1"/>
    <xf borderId="53" fillId="2" fontId="13" numFmtId="0" xfId="0" applyAlignment="1" applyBorder="1" applyFont="1">
      <alignment horizontal="center"/>
    </xf>
    <xf borderId="58" fillId="2" fontId="13" numFmtId="0" xfId="0" applyAlignment="1" applyBorder="1" applyFont="1">
      <alignment horizontal="center"/>
    </xf>
    <xf borderId="45" fillId="2" fontId="13" numFmtId="0" xfId="0" applyAlignment="1" applyBorder="1" applyFont="1">
      <alignment horizontal="center"/>
    </xf>
    <xf borderId="67" fillId="2" fontId="11" numFmtId="0" xfId="0" applyAlignment="1" applyBorder="1" applyFont="1">
      <alignment shrinkToFit="0" wrapText="1"/>
    </xf>
    <xf borderId="58" fillId="2" fontId="5" numFmtId="0" xfId="0" applyAlignment="1" applyBorder="1" applyFont="1">
      <alignment horizontal="center" readingOrder="0" vertical="center"/>
    </xf>
    <xf borderId="0" fillId="2" fontId="16" numFmtId="3" xfId="0" applyAlignment="1" applyFont="1" applyNumberFormat="1">
      <alignment horizontal="center" readingOrder="0"/>
    </xf>
    <xf borderId="56" fillId="2" fontId="18" numFmtId="0" xfId="0" applyAlignment="1" applyBorder="1" applyFont="1">
      <alignment horizontal="center" readingOrder="0"/>
    </xf>
    <xf borderId="46" fillId="0" fontId="12" numFmtId="0" xfId="0" applyAlignment="1" applyBorder="1" applyFont="1">
      <alignment horizontal="center"/>
    </xf>
    <xf borderId="49" fillId="2" fontId="12" numFmtId="0" xfId="0" applyAlignment="1" applyBorder="1" applyFont="1">
      <alignment horizontal="center"/>
    </xf>
    <xf borderId="57" fillId="2" fontId="12" numFmtId="0" xfId="0" applyAlignment="1" applyBorder="1" applyFont="1">
      <alignment horizontal="center"/>
    </xf>
    <xf borderId="0" fillId="4" fontId="16" numFmtId="0" xfId="0" applyAlignment="1" applyFont="1">
      <alignment horizontal="center"/>
    </xf>
    <xf borderId="35" fillId="2" fontId="5" numFmtId="3" xfId="0" applyAlignment="1" applyBorder="1" applyFont="1" applyNumberFormat="1">
      <alignment horizontal="center" vertical="center"/>
    </xf>
    <xf borderId="32" fillId="3" fontId="10" numFmtId="0" xfId="0" applyAlignment="1" applyBorder="1" applyFont="1">
      <alignment horizontal="center" shrinkToFit="0" vertical="center" wrapText="1"/>
    </xf>
    <xf borderId="33" fillId="3" fontId="10" numFmtId="0" xfId="0" applyAlignment="1" applyBorder="1" applyFont="1">
      <alignment horizontal="center" shrinkToFit="0" vertical="center" wrapText="1"/>
    </xf>
    <xf borderId="68" fillId="3" fontId="9" numFmtId="0" xfId="0" applyAlignment="1" applyBorder="1" applyFont="1">
      <alignment horizontal="center" vertical="center"/>
    </xf>
    <xf borderId="69" fillId="3" fontId="9" numFmtId="0" xfId="0" applyAlignment="1" applyBorder="1" applyFont="1">
      <alignment horizontal="center" vertical="center"/>
    </xf>
    <xf borderId="45" fillId="0" fontId="12" numFmtId="0" xfId="0" applyAlignment="1" applyBorder="1" applyFont="1">
      <alignment horizontal="center"/>
    </xf>
    <xf borderId="60" fillId="0" fontId="13" numFmtId="0" xfId="0" applyAlignment="1" applyBorder="1" applyFont="1">
      <alignment horizontal="center" vertical="bottom"/>
    </xf>
    <xf borderId="45" fillId="2" fontId="16" numFmtId="3" xfId="0" applyAlignment="1" applyBorder="1" applyFont="1" applyNumberFormat="1">
      <alignment horizontal="center"/>
    </xf>
    <xf borderId="70" fillId="3" fontId="9" numFmtId="0" xfId="0" applyAlignment="1" applyBorder="1" applyFont="1">
      <alignment horizontal="center" shrinkToFit="0" vertical="center" wrapText="1"/>
    </xf>
    <xf borderId="71" fillId="3" fontId="9" numFmtId="0" xfId="0" applyAlignment="1" applyBorder="1" applyFont="1">
      <alignment horizontal="center" vertical="center"/>
    </xf>
    <xf borderId="70" fillId="3" fontId="9" numFmtId="0" xfId="0" applyAlignment="1" applyBorder="1" applyFont="1">
      <alignment horizontal="center" vertical="center"/>
    </xf>
    <xf borderId="72" fillId="3" fontId="9" numFmtId="0" xfId="0" applyAlignment="1" applyBorder="1" applyFont="1">
      <alignment horizontal="center" vertical="center"/>
    </xf>
    <xf borderId="45" fillId="2" fontId="13" numFmtId="0" xfId="0" applyBorder="1" applyFont="1"/>
    <xf borderId="45" fillId="0" fontId="13" numFmtId="0" xfId="0" applyBorder="1" applyFont="1"/>
    <xf borderId="22" fillId="2" fontId="5" numFmtId="0" xfId="0" applyAlignment="1" applyBorder="1" applyFont="1">
      <alignment horizontal="center" vertical="center"/>
    </xf>
    <xf borderId="45" fillId="0" fontId="15" numFmtId="0" xfId="0" applyAlignment="1" applyBorder="1" applyFont="1">
      <alignment shrinkToFit="0" vertical="bottom" wrapText="1"/>
    </xf>
    <xf borderId="45" fillId="4" fontId="15" numFmtId="0" xfId="0" applyAlignment="1" applyBorder="1" applyFont="1">
      <alignment shrinkToFit="0" vertical="bottom" wrapText="1"/>
    </xf>
    <xf borderId="37" fillId="5" fontId="11" numFmtId="0" xfId="0" applyAlignment="1" applyBorder="1" applyFont="1">
      <alignment horizontal="center" shrinkToFit="0" wrapText="1"/>
    </xf>
    <xf borderId="73" fillId="5" fontId="1" numFmtId="0" xfId="0" applyBorder="1" applyFont="1"/>
    <xf borderId="22" fillId="0" fontId="12" numFmtId="0" xfId="0" applyAlignment="1" applyBorder="1" applyFont="1">
      <alignment horizontal="center"/>
    </xf>
    <xf borderId="47" fillId="0" fontId="12" numFmtId="0" xfId="0" applyAlignment="1" applyBorder="1" applyFont="1">
      <alignment horizontal="center"/>
    </xf>
    <xf borderId="45" fillId="2" fontId="12" numFmtId="0" xfId="0" applyAlignment="1" applyBorder="1" applyFont="1">
      <alignment horizontal="center" readingOrder="0"/>
    </xf>
    <xf borderId="53" fillId="2" fontId="1" numFmtId="0" xfId="0" applyAlignment="1" applyBorder="1" applyFont="1">
      <alignment horizontal="center" readingOrder="0"/>
    </xf>
    <xf borderId="45" fillId="2" fontId="12" numFmtId="0" xfId="0" applyAlignment="1" applyBorder="1" applyFont="1">
      <alignment horizontal="center" vertical="bottom"/>
    </xf>
    <xf borderId="47" fillId="2" fontId="13" numFmtId="0" xfId="0" applyBorder="1" applyFont="1"/>
    <xf borderId="45" fillId="2" fontId="13" numFmtId="0" xfId="0" applyAlignment="1" applyBorder="1" applyFont="1">
      <alignment vertical="bottom"/>
    </xf>
    <xf borderId="45" fillId="2" fontId="12" numFmtId="0" xfId="0" applyAlignment="1" applyBorder="1" applyFont="1">
      <alignment horizontal="center" vertical="bottom"/>
    </xf>
    <xf borderId="53" fillId="4" fontId="13" numFmtId="3" xfId="0" applyBorder="1" applyFont="1" applyNumberFormat="1"/>
    <xf borderId="45" fillId="4" fontId="13" numFmtId="3" xfId="0" applyBorder="1" applyFont="1" applyNumberFormat="1"/>
    <xf borderId="45" fillId="4" fontId="12" numFmtId="3" xfId="0" applyAlignment="1" applyBorder="1" applyFont="1" applyNumberFormat="1">
      <alignment horizontal="center"/>
    </xf>
    <xf borderId="47" fillId="4" fontId="13" numFmtId="0" xfId="0" applyBorder="1" applyFont="1"/>
    <xf borderId="45" fillId="4" fontId="13" numFmtId="0" xfId="0" applyBorder="1" applyFont="1"/>
    <xf borderId="45" fillId="4" fontId="12" numFmtId="0" xfId="0" applyAlignment="1" applyBorder="1" applyFont="1">
      <alignment horizontal="center"/>
    </xf>
    <xf borderId="45" fillId="4" fontId="13" numFmtId="0" xfId="0" applyAlignment="1" applyBorder="1" applyFont="1">
      <alignment vertical="bottom"/>
    </xf>
    <xf borderId="0" fillId="4" fontId="12" numFmtId="0" xfId="0" applyAlignment="1" applyFont="1">
      <alignment horizontal="center" vertical="bottom"/>
    </xf>
    <xf borderId="53" fillId="2" fontId="13" numFmtId="3" xfId="0" applyBorder="1" applyFont="1" applyNumberFormat="1"/>
    <xf borderId="45" fillId="2" fontId="13" numFmtId="3" xfId="0" applyBorder="1" applyFont="1" applyNumberFormat="1"/>
    <xf borderId="45" fillId="2" fontId="12" numFmtId="3" xfId="0" applyAlignment="1" applyBorder="1" applyFont="1" applyNumberFormat="1">
      <alignment horizontal="center"/>
    </xf>
    <xf borderId="35" fillId="2" fontId="12" numFmtId="0" xfId="0" applyAlignment="1" applyBorder="1" applyFont="1">
      <alignment horizontal="center"/>
    </xf>
    <xf borderId="53" fillId="2" fontId="13" numFmtId="0" xfId="0" applyBorder="1" applyFont="1"/>
    <xf borderId="35" fillId="2" fontId="12" numFmtId="3" xfId="0" applyAlignment="1" applyBorder="1" applyFont="1" applyNumberFormat="1">
      <alignment horizontal="center"/>
    </xf>
    <xf borderId="35" fillId="2" fontId="12" numFmtId="3" xfId="0" applyAlignment="1" applyBorder="1" applyFont="1" applyNumberFormat="1">
      <alignment horizontal="center" readingOrder="0"/>
    </xf>
    <xf borderId="45" fillId="2" fontId="1" numFmtId="0" xfId="0" applyAlignment="1" applyBorder="1" applyFont="1">
      <alignment horizontal="center" readingOrder="0"/>
    </xf>
    <xf borderId="45" fillId="2" fontId="5" numFmtId="0" xfId="0" applyAlignment="1" applyBorder="1" applyFont="1">
      <alignment horizontal="center" readingOrder="0"/>
    </xf>
    <xf borderId="7" fillId="2" fontId="11" numFmtId="0" xfId="0" applyAlignment="1" applyBorder="1" applyFont="1">
      <alignment shrinkToFit="0" wrapText="1"/>
    </xf>
    <xf borderId="46" fillId="2" fontId="12" numFmtId="0" xfId="0" applyAlignment="1" applyBorder="1" applyFont="1">
      <alignment horizontal="center" vertical="bottom"/>
    </xf>
    <xf borderId="53" fillId="2" fontId="16" numFmtId="0" xfId="0" applyAlignment="1" applyBorder="1" applyFont="1">
      <alignment horizontal="center" readingOrder="0" vertical="center"/>
    </xf>
    <xf borderId="45" fillId="2" fontId="16" numFmtId="0" xfId="0" applyAlignment="1" applyBorder="1" applyFont="1">
      <alignment horizontal="center" readingOrder="0" vertical="center"/>
    </xf>
    <xf borderId="53" fillId="4" fontId="5" numFmtId="0" xfId="0" applyAlignment="1" applyBorder="1" applyFont="1">
      <alignment horizontal="center" readingOrder="0" vertical="center"/>
    </xf>
    <xf borderId="53" fillId="4" fontId="5" numFmtId="0" xfId="0" applyAlignment="1" applyBorder="1" applyFont="1">
      <alignment horizontal="center" vertical="center"/>
    </xf>
    <xf borderId="45" fillId="4" fontId="5" numFmtId="0" xfId="0" applyAlignment="1" applyBorder="1" applyFont="1">
      <alignment horizontal="center" readingOrder="0"/>
    </xf>
    <xf borderId="45" fillId="4" fontId="5" numFmtId="0" xfId="0" applyAlignment="1" applyBorder="1" applyFont="1">
      <alignment horizontal="center" readingOrder="0" vertical="center"/>
    </xf>
    <xf borderId="46" fillId="0" fontId="12" numFmtId="0" xfId="0" applyAlignment="1" applyBorder="1" applyFont="1">
      <alignment horizontal="center" readingOrder="0"/>
    </xf>
    <xf borderId="0" fillId="0" fontId="20" numFmtId="0" xfId="0" applyAlignment="1" applyFont="1">
      <alignment horizontal="center" readingOrder="0"/>
    </xf>
    <xf borderId="45" fillId="0" fontId="20" numFmtId="0" xfId="0" applyAlignment="1" applyBorder="1" applyFont="1">
      <alignment horizontal="center" readingOrder="0"/>
    </xf>
    <xf borderId="49" fillId="2" fontId="5" numFmtId="0" xfId="0" applyAlignment="1" applyBorder="1" applyFont="1">
      <alignment horizontal="center" readingOrder="0" vertical="center"/>
    </xf>
    <xf borderId="57" fillId="2" fontId="5" numFmtId="0" xfId="0" applyAlignment="1" applyBorder="1" applyFont="1">
      <alignment horizontal="center" readingOrder="0" vertical="center"/>
    </xf>
    <xf borderId="53" fillId="2" fontId="5" numFmtId="3" xfId="0" applyAlignment="1" applyBorder="1" applyFont="1" applyNumberFormat="1">
      <alignment horizontal="center" readingOrder="0" vertical="center"/>
    </xf>
    <xf borderId="35" fillId="2" fontId="5" numFmtId="0" xfId="0" applyAlignment="1" applyBorder="1" applyFont="1">
      <alignment horizontal="center" readingOrder="0" vertical="center"/>
    </xf>
    <xf borderId="41" fillId="0" fontId="15" numFmtId="0" xfId="0" applyAlignment="1" applyBorder="1" applyFont="1">
      <alignment readingOrder="0" shrinkToFit="0" vertical="bottom" wrapText="1"/>
    </xf>
    <xf borderId="45" fillId="2" fontId="18" numFmtId="0" xfId="0" applyAlignment="1" applyBorder="1" applyFont="1">
      <alignment horizontal="center" readingOrder="0" shrinkToFit="0" wrapText="1"/>
    </xf>
    <xf borderId="55" fillId="2" fontId="5" numFmtId="0" xfId="0" applyAlignment="1" applyBorder="1" applyFont="1">
      <alignment horizontal="center" readingOrder="0" vertical="center"/>
    </xf>
    <xf borderId="54" fillId="2" fontId="5" numFmtId="0" xfId="0" applyAlignment="1" applyBorder="1" applyFont="1">
      <alignment horizontal="center" readingOrder="0" vertical="center"/>
    </xf>
    <xf borderId="45" fillId="2" fontId="14" numFmtId="0" xfId="0" applyAlignment="1" applyBorder="1" applyFont="1">
      <alignment horizontal="center" shrinkToFit="0" wrapText="1"/>
    </xf>
    <xf borderId="45" fillId="4" fontId="11" numFmtId="0" xfId="0" applyAlignment="1" applyBorder="1" applyFont="1">
      <alignment horizontal="left" shrinkToFit="0" wrapText="1"/>
    </xf>
    <xf borderId="45" fillId="0" fontId="1" numFmtId="0" xfId="0" applyAlignment="1" applyBorder="1" applyFont="1">
      <alignment horizontal="center" readingOrder="0" vertical="bottom"/>
    </xf>
    <xf borderId="45" fillId="5" fontId="1" numFmtId="3" xfId="0" applyAlignment="1" applyBorder="1" applyFont="1" applyNumberFormat="1">
      <alignment horizontal="center"/>
    </xf>
    <xf borderId="45" fillId="0" fontId="20" numFmtId="0" xfId="0" applyAlignment="1" applyBorder="1" applyFont="1">
      <alignment horizontal="center" vertical="center"/>
    </xf>
    <xf borderId="45" fillId="0" fontId="20" numFmtId="0" xfId="0" applyAlignment="1" applyBorder="1" applyFont="1">
      <alignment readingOrder="0"/>
    </xf>
    <xf borderId="45" fillId="0" fontId="20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/>
    </xf>
    <xf borderId="0" fillId="0" fontId="20" numFmtId="0" xfId="0" applyAlignment="1" applyFont="1">
      <alignment horizontal="center" vertical="center"/>
    </xf>
    <xf borderId="45" fillId="0" fontId="20" numFmtId="3" xfId="0" applyAlignment="1" applyBorder="1" applyFont="1" applyNumberFormat="1">
      <alignment horizontal="center"/>
    </xf>
    <xf borderId="45" fillId="0" fontId="13" numFmtId="0" xfId="0" applyAlignment="1" applyBorder="1" applyFont="1">
      <alignment horizontal="center" vertical="bottom"/>
    </xf>
    <xf borderId="0" fillId="0" fontId="13" numFmtId="0" xfId="0" applyAlignment="1" applyFont="1">
      <alignment vertical="bottom"/>
    </xf>
    <xf borderId="45" fillId="0" fontId="13" numFmtId="0" xfId="0" applyAlignment="1" applyBorder="1" applyFont="1">
      <alignment vertical="bottom"/>
    </xf>
    <xf borderId="45" fillId="0" fontId="20" numFmtId="0" xfId="0" applyBorder="1" applyFont="1"/>
    <xf borderId="45" fillId="4" fontId="20" numFmtId="3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 fitToPage="1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5.63"/>
    <col customWidth="1" min="3" max="3" width="32.38"/>
    <col customWidth="1" min="4" max="4" width="9.13"/>
    <col customWidth="1" min="5" max="14" width="7.63"/>
    <col customWidth="1" min="15" max="15" width="10.38"/>
    <col customWidth="1" min="16" max="16" width="10.75"/>
  </cols>
  <sheetData>
    <row r="1" ht="13.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 t="s">
        <v>1</v>
      </c>
    </row>
    <row r="2" ht="14.25" customHeight="1">
      <c r="A2" s="1"/>
      <c r="B2" s="3" t="s">
        <v>2</v>
      </c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8.25" customHeight="1">
      <c r="A3" s="1"/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5.75" customHeight="1">
      <c r="A4" s="1"/>
      <c r="B4" s="1"/>
      <c r="C4" s="1"/>
      <c r="D4" s="1"/>
      <c r="E4" s="1"/>
      <c r="F4" s="4" t="s">
        <v>3</v>
      </c>
      <c r="G4" s="4"/>
      <c r="H4" s="5">
        <v>45658.0</v>
      </c>
      <c r="I4" s="6"/>
      <c r="J4" s="7"/>
      <c r="K4" s="7"/>
      <c r="L4" s="7"/>
      <c r="M4" s="7"/>
      <c r="N4" s="7"/>
      <c r="O4" s="7"/>
      <c r="P4" s="8"/>
    </row>
    <row r="5" ht="15.75" customHeight="1">
      <c r="A5" s="1"/>
      <c r="B5" s="1"/>
      <c r="C5" s="1"/>
      <c r="D5" s="1"/>
      <c r="E5" s="1"/>
      <c r="F5" s="4" t="s">
        <v>4</v>
      </c>
      <c r="G5" s="4"/>
      <c r="H5" s="9" t="s">
        <v>5</v>
      </c>
      <c r="I5" s="9"/>
      <c r="J5" s="9"/>
      <c r="K5" s="9"/>
      <c r="L5" s="9"/>
      <c r="M5" s="9"/>
      <c r="N5" s="9"/>
      <c r="O5" s="9"/>
      <c r="P5" s="8"/>
    </row>
    <row r="6" ht="15.75" customHeight="1">
      <c r="A6" s="1"/>
      <c r="B6" s="1"/>
      <c r="C6" s="1"/>
      <c r="D6" s="1"/>
      <c r="E6" s="1"/>
      <c r="F6" s="4" t="s">
        <v>6</v>
      </c>
      <c r="G6" s="4"/>
      <c r="H6" s="7"/>
      <c r="I6" s="7"/>
      <c r="J6" s="7"/>
      <c r="K6" s="7"/>
      <c r="L6" s="7"/>
      <c r="M6" s="7"/>
      <c r="N6" s="7"/>
      <c r="O6" s="7"/>
      <c r="P6" s="8"/>
    </row>
    <row r="7" ht="15.75" customHeight="1">
      <c r="A7" s="1"/>
      <c r="B7" s="1"/>
      <c r="C7" s="1"/>
      <c r="D7" s="10"/>
      <c r="E7" s="10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ht="15.75" customHeight="1">
      <c r="A8" s="1"/>
      <c r="B8" s="1"/>
      <c r="C8" s="1"/>
      <c r="D8" s="4"/>
      <c r="E8" s="4" t="s">
        <v>7</v>
      </c>
      <c r="F8" s="11"/>
      <c r="G8" s="8"/>
      <c r="H8" s="10"/>
      <c r="I8" s="10"/>
      <c r="J8" s="10"/>
      <c r="K8" s="10"/>
      <c r="L8" s="10"/>
      <c r="M8" s="10"/>
      <c r="N8" s="10"/>
      <c r="O8" s="10"/>
      <c r="P8" s="1"/>
    </row>
    <row r="9" ht="17.25" customHeight="1">
      <c r="A9" s="1"/>
      <c r="B9" s="1"/>
      <c r="C9" s="1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ht="17.25" customHeight="1">
      <c r="A10" s="1"/>
      <c r="B10" s="12" t="s">
        <v>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ht="16.5" customHeight="1">
      <c r="A11" s="1"/>
      <c r="B11" s="14" t="s">
        <v>9</v>
      </c>
      <c r="C11" s="15"/>
      <c r="D11" s="16"/>
      <c r="E11" s="17" t="s">
        <v>10</v>
      </c>
      <c r="F11" s="18"/>
      <c r="G11" s="18"/>
      <c r="H11" s="18"/>
      <c r="I11" s="18"/>
      <c r="J11" s="18"/>
      <c r="K11" s="18"/>
      <c r="L11" s="18"/>
      <c r="M11" s="19"/>
      <c r="N11" s="20" t="s">
        <v>11</v>
      </c>
      <c r="O11" s="21"/>
      <c r="P11" s="22"/>
    </row>
    <row r="12" ht="15.0" customHeight="1">
      <c r="A12" s="1"/>
      <c r="B12" s="23"/>
      <c r="C12" s="24" t="s">
        <v>12</v>
      </c>
      <c r="D12" s="25"/>
      <c r="E12" s="26" t="s">
        <v>13</v>
      </c>
      <c r="F12" s="27"/>
      <c r="G12" s="27"/>
      <c r="H12" s="27"/>
      <c r="I12" s="27"/>
      <c r="J12" s="27"/>
      <c r="K12" s="28" t="s">
        <v>14</v>
      </c>
      <c r="L12" s="29"/>
      <c r="M12" s="30"/>
      <c r="N12" s="31"/>
      <c r="P12" s="32"/>
    </row>
    <row r="13" ht="28.5" customHeight="1">
      <c r="A13" s="1"/>
      <c r="B13" s="33"/>
      <c r="C13" s="34"/>
      <c r="D13" s="35"/>
      <c r="E13" s="36" t="s">
        <v>15</v>
      </c>
      <c r="F13" s="37"/>
      <c r="G13" s="38"/>
      <c r="H13" s="36" t="s">
        <v>16</v>
      </c>
      <c r="I13" s="37"/>
      <c r="J13" s="38"/>
      <c r="K13" s="39"/>
      <c r="L13" s="40"/>
      <c r="M13" s="41"/>
      <c r="N13" s="42"/>
      <c r="O13" s="43"/>
      <c r="P13" s="44"/>
    </row>
    <row r="14" ht="36.75" customHeight="1">
      <c r="A14" s="1"/>
      <c r="B14" s="45"/>
      <c r="C14" s="46"/>
      <c r="D14" s="47" t="s">
        <v>17</v>
      </c>
      <c r="E14" s="48" t="s">
        <v>18</v>
      </c>
      <c r="F14" s="49" t="s">
        <v>19</v>
      </c>
      <c r="G14" s="50" t="s">
        <v>20</v>
      </c>
      <c r="H14" s="48" t="s">
        <v>18</v>
      </c>
      <c r="I14" s="51" t="s">
        <v>19</v>
      </c>
      <c r="J14" s="50" t="s">
        <v>20</v>
      </c>
      <c r="K14" s="48" t="s">
        <v>21</v>
      </c>
      <c r="L14" s="51" t="s">
        <v>19</v>
      </c>
      <c r="M14" s="52" t="s">
        <v>20</v>
      </c>
      <c r="N14" s="50" t="s">
        <v>18</v>
      </c>
      <c r="O14" s="50" t="s">
        <v>19</v>
      </c>
      <c r="P14" s="50" t="s">
        <v>20</v>
      </c>
    </row>
    <row r="15" ht="17.25" customHeight="1">
      <c r="A15" s="1"/>
      <c r="B15" s="53">
        <v>1.0</v>
      </c>
      <c r="C15" s="54" t="s">
        <v>22</v>
      </c>
      <c r="D15" s="55" t="s">
        <v>23</v>
      </c>
      <c r="E15" s="27"/>
      <c r="F15" s="56"/>
      <c r="G15" s="57">
        <f t="shared" ref="G15:G28" si="2">SUM(E15:F15)</f>
        <v>0</v>
      </c>
      <c r="H15" s="57"/>
      <c r="I15" s="57"/>
      <c r="J15" s="57">
        <f t="shared" ref="J15:J18" si="3">SUM(H15:I15)</f>
        <v>0</v>
      </c>
      <c r="K15" s="57"/>
      <c r="L15" s="58"/>
      <c r="M15" s="57">
        <f t="shared" ref="M15:M28" si="4">SUM(K15:L15)</f>
        <v>0</v>
      </c>
      <c r="N15" s="57">
        <f t="shared" ref="N15:P15" si="1">SUM(E15,H15,K15)</f>
        <v>0</v>
      </c>
      <c r="O15" s="57">
        <f t="shared" si="1"/>
        <v>0</v>
      </c>
      <c r="P15" s="59">
        <f t="shared" si="1"/>
        <v>0</v>
      </c>
    </row>
    <row r="16" ht="17.25" customHeight="1">
      <c r="A16" s="1"/>
      <c r="B16" s="60">
        <v>2.0</v>
      </c>
      <c r="C16" s="61" t="s">
        <v>24</v>
      </c>
      <c r="D16" s="62" t="s">
        <v>23</v>
      </c>
      <c r="E16" s="29"/>
      <c r="F16" s="63"/>
      <c r="G16" s="57">
        <f t="shared" si="2"/>
        <v>0</v>
      </c>
      <c r="H16" s="64"/>
      <c r="I16" s="65"/>
      <c r="J16" s="57">
        <f t="shared" si="3"/>
        <v>0</v>
      </c>
      <c r="K16" s="64"/>
      <c r="L16" s="66"/>
      <c r="M16" s="57">
        <f t="shared" si="4"/>
        <v>0</v>
      </c>
      <c r="N16" s="57">
        <f t="shared" ref="N16:P16" si="5">SUM(E16,H16,K16)</f>
        <v>0</v>
      </c>
      <c r="O16" s="57">
        <f t="shared" si="5"/>
        <v>0</v>
      </c>
      <c r="P16" s="59">
        <f t="shared" si="5"/>
        <v>0</v>
      </c>
    </row>
    <row r="17" ht="17.25" customHeight="1">
      <c r="A17" s="1"/>
      <c r="B17" s="67">
        <v>3.0</v>
      </c>
      <c r="C17" s="68" t="s">
        <v>25</v>
      </c>
      <c r="D17" s="69"/>
      <c r="E17" s="57">
        <v>149.0</v>
      </c>
      <c r="F17" s="57">
        <v>129.0</v>
      </c>
      <c r="G17" s="57">
        <f t="shared" si="2"/>
        <v>278</v>
      </c>
      <c r="H17" s="70"/>
      <c r="I17" s="57"/>
      <c r="J17" s="57">
        <f t="shared" si="3"/>
        <v>0</v>
      </c>
      <c r="K17" s="70"/>
      <c r="L17" s="58"/>
      <c r="M17" s="57">
        <f t="shared" si="4"/>
        <v>0</v>
      </c>
      <c r="N17" s="57">
        <f t="shared" ref="N17:P17" si="6">SUM(E17,H17,K17)</f>
        <v>149</v>
      </c>
      <c r="O17" s="57">
        <f t="shared" si="6"/>
        <v>129</v>
      </c>
      <c r="P17" s="59">
        <f t="shared" si="6"/>
        <v>278</v>
      </c>
    </row>
    <row r="18" ht="17.25" customHeight="1">
      <c r="A18" s="1"/>
      <c r="B18" s="67">
        <v>4.0</v>
      </c>
      <c r="C18" s="54" t="s">
        <v>26</v>
      </c>
      <c r="D18" s="71"/>
      <c r="E18" s="72">
        <v>184.0</v>
      </c>
      <c r="F18" s="71">
        <v>122.0</v>
      </c>
      <c r="G18" s="57">
        <f t="shared" si="2"/>
        <v>306</v>
      </c>
      <c r="H18" s="70"/>
      <c r="I18" s="57"/>
      <c r="J18" s="57">
        <f t="shared" si="3"/>
        <v>0</v>
      </c>
      <c r="K18" s="70"/>
      <c r="L18" s="58"/>
      <c r="M18" s="57">
        <f t="shared" si="4"/>
        <v>0</v>
      </c>
      <c r="N18" s="57">
        <f t="shared" ref="N18:P18" si="7">SUM(E18,H18,K18)</f>
        <v>184</v>
      </c>
      <c r="O18" s="57">
        <f t="shared" si="7"/>
        <v>122</v>
      </c>
      <c r="P18" s="59">
        <f t="shared" si="7"/>
        <v>306</v>
      </c>
    </row>
    <row r="19" ht="17.25" customHeight="1">
      <c r="A19" s="1"/>
      <c r="B19" s="67">
        <v>5.0</v>
      </c>
      <c r="C19" s="73" t="s">
        <v>27</v>
      </c>
      <c r="D19" s="74"/>
      <c r="E19" s="70">
        <v>0.0</v>
      </c>
      <c r="F19" s="75">
        <v>0.0</v>
      </c>
      <c r="G19" s="57">
        <f t="shared" si="2"/>
        <v>0</v>
      </c>
      <c r="H19" s="70">
        <v>0.0</v>
      </c>
      <c r="I19" s="57">
        <v>0.0</v>
      </c>
      <c r="J19" s="57">
        <v>0.0</v>
      </c>
      <c r="K19" s="70"/>
      <c r="L19" s="58"/>
      <c r="M19" s="57">
        <f t="shared" si="4"/>
        <v>0</v>
      </c>
      <c r="N19" s="57">
        <f t="shared" ref="N19:P19" si="8">SUM(E19,H19,K19)</f>
        <v>0</v>
      </c>
      <c r="O19" s="57">
        <f t="shared" si="8"/>
        <v>0</v>
      </c>
      <c r="P19" s="59">
        <f t="shared" si="8"/>
        <v>0</v>
      </c>
    </row>
    <row r="20" ht="17.25" customHeight="1">
      <c r="A20" s="1"/>
      <c r="B20" s="67">
        <v>6.0</v>
      </c>
      <c r="C20" s="54" t="s">
        <v>28</v>
      </c>
      <c r="D20" s="55" t="s">
        <v>23</v>
      </c>
      <c r="E20" s="27"/>
      <c r="F20" s="56"/>
      <c r="G20" s="57">
        <f t="shared" si="2"/>
        <v>0</v>
      </c>
      <c r="H20" s="70"/>
      <c r="I20" s="57"/>
      <c r="J20" s="57">
        <f t="shared" ref="J20:J24" si="10">SUM(H20:I20)</f>
        <v>0</v>
      </c>
      <c r="K20" s="70"/>
      <c r="L20" s="58"/>
      <c r="M20" s="57">
        <f t="shared" si="4"/>
        <v>0</v>
      </c>
      <c r="N20" s="57">
        <f t="shared" ref="N20:P20" si="9">SUM(E20,H20,K20)</f>
        <v>0</v>
      </c>
      <c r="O20" s="57">
        <f t="shared" si="9"/>
        <v>0</v>
      </c>
      <c r="P20" s="59">
        <f t="shared" si="9"/>
        <v>0</v>
      </c>
    </row>
    <row r="21" ht="17.25" customHeight="1">
      <c r="A21" s="1"/>
      <c r="B21" s="67">
        <v>7.0</v>
      </c>
      <c r="C21" s="54" t="s">
        <v>29</v>
      </c>
      <c r="D21" s="55" t="s">
        <v>23</v>
      </c>
      <c r="E21" s="27"/>
      <c r="F21" s="56"/>
      <c r="G21" s="57">
        <f t="shared" si="2"/>
        <v>0</v>
      </c>
      <c r="H21" s="70"/>
      <c r="I21" s="57"/>
      <c r="J21" s="57">
        <f t="shared" si="10"/>
        <v>0</v>
      </c>
      <c r="K21" s="70"/>
      <c r="L21" s="58"/>
      <c r="M21" s="57">
        <f t="shared" si="4"/>
        <v>0</v>
      </c>
      <c r="N21" s="57">
        <f t="shared" ref="N21:P21" si="11">SUM(E21,H21,K21)</f>
        <v>0</v>
      </c>
      <c r="O21" s="57">
        <f t="shared" si="11"/>
        <v>0</v>
      </c>
      <c r="P21" s="59">
        <f t="shared" si="11"/>
        <v>0</v>
      </c>
    </row>
    <row r="22" ht="17.25" customHeight="1">
      <c r="A22" s="1"/>
      <c r="B22" s="67">
        <v>8.0</v>
      </c>
      <c r="C22" s="54" t="s">
        <v>30</v>
      </c>
      <c r="D22" s="74"/>
      <c r="E22" s="70">
        <v>969.0</v>
      </c>
      <c r="F22" s="75">
        <v>965.0</v>
      </c>
      <c r="G22" s="57">
        <f t="shared" si="2"/>
        <v>1934</v>
      </c>
      <c r="H22" s="70">
        <v>0.0</v>
      </c>
      <c r="I22" s="57">
        <v>0.0</v>
      </c>
      <c r="J22" s="57">
        <f t="shared" si="10"/>
        <v>0</v>
      </c>
      <c r="K22" s="70"/>
      <c r="L22" s="58"/>
      <c r="M22" s="57">
        <f t="shared" si="4"/>
        <v>0</v>
      </c>
      <c r="N22" s="57">
        <f t="shared" ref="N22:P22" si="12">SUM(E22,H22,K22)</f>
        <v>969</v>
      </c>
      <c r="O22" s="57">
        <f t="shared" si="12"/>
        <v>965</v>
      </c>
      <c r="P22" s="59">
        <f t="shared" si="12"/>
        <v>1934</v>
      </c>
    </row>
    <row r="23" ht="17.25" customHeight="1">
      <c r="A23" s="1"/>
      <c r="B23" s="67">
        <v>9.0</v>
      </c>
      <c r="C23" s="54" t="s">
        <v>31</v>
      </c>
      <c r="D23" s="55" t="s">
        <v>23</v>
      </c>
      <c r="E23" s="27"/>
      <c r="F23" s="56"/>
      <c r="G23" s="57">
        <f t="shared" si="2"/>
        <v>0</v>
      </c>
      <c r="H23" s="70"/>
      <c r="I23" s="57"/>
      <c r="J23" s="57">
        <f t="shared" si="10"/>
        <v>0</v>
      </c>
      <c r="K23" s="70"/>
      <c r="L23" s="58"/>
      <c r="M23" s="57">
        <f t="shared" si="4"/>
        <v>0</v>
      </c>
      <c r="N23" s="57">
        <f t="shared" ref="N23:P23" si="13">SUM(E23,H23,K23)</f>
        <v>0</v>
      </c>
      <c r="O23" s="57">
        <f t="shared" si="13"/>
        <v>0</v>
      </c>
      <c r="P23" s="59">
        <f t="shared" si="13"/>
        <v>0</v>
      </c>
    </row>
    <row r="24" ht="17.25" customHeight="1">
      <c r="A24" s="1"/>
      <c r="B24" s="67">
        <v>10.0</v>
      </c>
      <c r="C24" s="76" t="s">
        <v>32</v>
      </c>
      <c r="D24" s="77"/>
      <c r="E24" s="78"/>
      <c r="F24" s="77"/>
      <c r="G24" s="57">
        <f t="shared" si="2"/>
        <v>0</v>
      </c>
      <c r="H24" s="70"/>
      <c r="I24" s="57"/>
      <c r="J24" s="57">
        <f t="shared" si="10"/>
        <v>0</v>
      </c>
      <c r="K24" s="70"/>
      <c r="L24" s="58"/>
      <c r="M24" s="57">
        <f t="shared" si="4"/>
        <v>0</v>
      </c>
      <c r="N24" s="57">
        <f t="shared" ref="N24:P24" si="14">SUM(E24,H24,K24)</f>
        <v>0</v>
      </c>
      <c r="O24" s="57">
        <f t="shared" si="14"/>
        <v>0</v>
      </c>
      <c r="P24" s="59">
        <f t="shared" si="14"/>
        <v>0</v>
      </c>
    </row>
    <row r="25" ht="17.25" customHeight="1">
      <c r="A25" s="79"/>
      <c r="B25" s="53">
        <v>11.0</v>
      </c>
      <c r="C25" s="54" t="s">
        <v>33</v>
      </c>
      <c r="D25" s="77">
        <v>0.0</v>
      </c>
      <c r="E25" s="77">
        <v>57.0</v>
      </c>
      <c r="F25" s="77">
        <v>45.0</v>
      </c>
      <c r="G25" s="57">
        <f t="shared" si="2"/>
        <v>102</v>
      </c>
      <c r="H25" s="80"/>
      <c r="I25" s="57"/>
      <c r="J25" s="57">
        <v>102.0</v>
      </c>
      <c r="K25" s="70"/>
      <c r="L25" s="58"/>
      <c r="M25" s="57">
        <f t="shared" si="4"/>
        <v>0</v>
      </c>
      <c r="N25" s="57">
        <f t="shared" ref="N25:P25" si="15">SUM(E25,H25,K25)</f>
        <v>57</v>
      </c>
      <c r="O25" s="57">
        <f t="shared" si="15"/>
        <v>45</v>
      </c>
      <c r="P25" s="59">
        <f t="shared" si="15"/>
        <v>204</v>
      </c>
    </row>
    <row r="26" ht="30.0" customHeight="1">
      <c r="A26" s="1"/>
      <c r="B26" s="67">
        <v>12.0</v>
      </c>
      <c r="C26" s="54" t="s">
        <v>34</v>
      </c>
      <c r="D26" s="57"/>
      <c r="E26" s="81">
        <v>184.0</v>
      </c>
      <c r="F26" s="81">
        <v>122.0</v>
      </c>
      <c r="G26" s="57">
        <f t="shared" si="2"/>
        <v>306</v>
      </c>
      <c r="H26" s="80"/>
      <c r="I26" s="57"/>
      <c r="J26" s="57">
        <f t="shared" ref="J26:J28" si="17">SUM(H26:I26)</f>
        <v>0</v>
      </c>
      <c r="K26" s="70"/>
      <c r="L26" s="58"/>
      <c r="M26" s="57">
        <f t="shared" si="4"/>
        <v>0</v>
      </c>
      <c r="N26" s="57">
        <f t="shared" ref="N26:P26" si="16">SUM(E26,H26,K26)</f>
        <v>184</v>
      </c>
      <c r="O26" s="57">
        <f t="shared" si="16"/>
        <v>122</v>
      </c>
      <c r="P26" s="59">
        <f t="shared" si="16"/>
        <v>306</v>
      </c>
    </row>
    <row r="27" ht="17.25" customHeight="1">
      <c r="A27" s="1"/>
      <c r="B27" s="67">
        <v>13.0</v>
      </c>
      <c r="C27" s="54" t="s">
        <v>35</v>
      </c>
      <c r="D27" s="57"/>
      <c r="E27" s="57">
        <v>209.0</v>
      </c>
      <c r="F27" s="57">
        <v>236.0</v>
      </c>
      <c r="G27" s="57">
        <f t="shared" si="2"/>
        <v>445</v>
      </c>
      <c r="H27" s="80"/>
      <c r="I27" s="57"/>
      <c r="J27" s="57">
        <f t="shared" si="17"/>
        <v>0</v>
      </c>
      <c r="K27" s="70"/>
      <c r="L27" s="58"/>
      <c r="M27" s="57">
        <f t="shared" si="4"/>
        <v>0</v>
      </c>
      <c r="N27" s="57">
        <f t="shared" ref="N27:P27" si="18">SUM(E27,H27,K27)</f>
        <v>209</v>
      </c>
      <c r="O27" s="57">
        <f t="shared" si="18"/>
        <v>236</v>
      </c>
      <c r="P27" s="59">
        <f t="shared" si="18"/>
        <v>445</v>
      </c>
    </row>
    <row r="28" ht="17.25" customHeight="1">
      <c r="A28" s="1"/>
      <c r="B28" s="67">
        <v>14.0</v>
      </c>
      <c r="C28" s="54" t="s">
        <v>36</v>
      </c>
      <c r="D28" s="57"/>
      <c r="E28" s="57">
        <v>54.0</v>
      </c>
      <c r="F28" s="57">
        <v>57.0</v>
      </c>
      <c r="G28" s="57">
        <f t="shared" si="2"/>
        <v>111</v>
      </c>
      <c r="H28" s="80"/>
      <c r="I28" s="57"/>
      <c r="J28" s="57">
        <f t="shared" si="17"/>
        <v>0</v>
      </c>
      <c r="K28" s="70"/>
      <c r="L28" s="58"/>
      <c r="M28" s="57">
        <f t="shared" si="4"/>
        <v>0</v>
      </c>
      <c r="N28" s="57">
        <f t="shared" ref="N28:P28" si="19">SUM(E28,H28,K28)</f>
        <v>54</v>
      </c>
      <c r="O28" s="57">
        <f t="shared" si="19"/>
        <v>57</v>
      </c>
      <c r="P28" s="59">
        <f t="shared" si="19"/>
        <v>111</v>
      </c>
    </row>
    <row r="29" ht="17.25" customHeight="1">
      <c r="A29" s="1"/>
      <c r="B29" s="67"/>
      <c r="C29" s="54"/>
      <c r="D29" s="75"/>
      <c r="E29" s="70"/>
      <c r="F29" s="57"/>
      <c r="G29" s="82"/>
      <c r="H29" s="70"/>
      <c r="I29" s="57"/>
      <c r="J29" s="82"/>
      <c r="K29" s="70"/>
      <c r="L29" s="53"/>
      <c r="M29" s="57"/>
      <c r="N29" s="57"/>
      <c r="O29" s="57"/>
      <c r="P29" s="59"/>
    </row>
    <row r="30" ht="17.25" customHeight="1">
      <c r="A30" s="1"/>
      <c r="B30" s="83"/>
      <c r="C30" s="84" t="s">
        <v>37</v>
      </c>
      <c r="D30" s="85"/>
      <c r="E30" s="86"/>
      <c r="F30" s="87"/>
      <c r="G30" s="88"/>
      <c r="H30" s="86"/>
      <c r="I30" s="87"/>
      <c r="J30" s="88"/>
      <c r="K30" s="86"/>
      <c r="L30" s="89"/>
      <c r="M30" s="87"/>
      <c r="N30" s="87"/>
      <c r="O30" s="87"/>
      <c r="P30" s="87"/>
    </row>
    <row r="31" ht="17.25" customHeight="1">
      <c r="A31" s="1"/>
      <c r="B31" s="67">
        <v>1.0</v>
      </c>
      <c r="C31" s="90" t="s">
        <v>38</v>
      </c>
      <c r="D31" s="75"/>
      <c r="E31" s="70">
        <v>44.0</v>
      </c>
      <c r="F31" s="57">
        <v>29.0</v>
      </c>
      <c r="G31" s="91">
        <f>SUM(E31:F31)</f>
        <v>73</v>
      </c>
      <c r="H31" s="80"/>
      <c r="I31" s="57"/>
      <c r="J31" s="91">
        <f t="shared" ref="J31:J37" si="21">SUM(H31:I31)</f>
        <v>0</v>
      </c>
      <c r="K31" s="80"/>
      <c r="L31" s="53"/>
      <c r="M31" s="57">
        <f t="shared" ref="M31:M37" si="22">SUM(K31:L31)</f>
        <v>0</v>
      </c>
      <c r="N31" s="57">
        <f t="shared" ref="N31:P31" si="20">SUM(E31,H31,K31)</f>
        <v>44</v>
      </c>
      <c r="O31" s="57">
        <f t="shared" si="20"/>
        <v>29</v>
      </c>
      <c r="P31" s="59">
        <f t="shared" si="20"/>
        <v>73</v>
      </c>
    </row>
    <row r="32" ht="17.25" customHeight="1">
      <c r="A32" s="1"/>
      <c r="B32" s="67">
        <v>2.0</v>
      </c>
      <c r="C32" s="92" t="s">
        <v>39</v>
      </c>
      <c r="D32" s="93"/>
      <c r="E32" s="94"/>
      <c r="F32" s="95"/>
      <c r="G32" s="96">
        <v>7750.0</v>
      </c>
      <c r="H32" s="97"/>
      <c r="I32" s="98"/>
      <c r="J32" s="98">
        <f t="shared" si="21"/>
        <v>0</v>
      </c>
      <c r="K32" s="97"/>
      <c r="L32" s="99"/>
      <c r="M32" s="98">
        <f t="shared" si="22"/>
        <v>0</v>
      </c>
      <c r="N32" s="95">
        <f t="shared" ref="N32:P32" si="23">SUM(E32,H32,K32)</f>
        <v>0</v>
      </c>
      <c r="O32" s="95">
        <f t="shared" si="23"/>
        <v>0</v>
      </c>
      <c r="P32" s="100">
        <f t="shared" si="23"/>
        <v>7750</v>
      </c>
    </row>
    <row r="33" ht="17.25" customHeight="1">
      <c r="A33" s="1"/>
      <c r="B33" s="67">
        <v>3.0</v>
      </c>
      <c r="C33" s="101" t="s">
        <v>40</v>
      </c>
      <c r="D33" s="75"/>
      <c r="E33" s="102"/>
      <c r="F33" s="103"/>
      <c r="G33" s="104">
        <v>2000.0</v>
      </c>
      <c r="H33" s="80"/>
      <c r="I33" s="57"/>
      <c r="J33" s="82">
        <f t="shared" si="21"/>
        <v>0</v>
      </c>
      <c r="K33" s="70"/>
      <c r="L33" s="53"/>
      <c r="M33" s="57">
        <f t="shared" si="22"/>
        <v>0</v>
      </c>
      <c r="N33" s="103">
        <f t="shared" ref="N33:P33" si="24">SUM(E33,H33,K33)</f>
        <v>0</v>
      </c>
      <c r="O33" s="103">
        <f t="shared" si="24"/>
        <v>0</v>
      </c>
      <c r="P33" s="105">
        <f t="shared" si="24"/>
        <v>2000</v>
      </c>
    </row>
    <row r="34" ht="17.25" customHeight="1">
      <c r="A34" s="1"/>
      <c r="B34" s="67">
        <v>4.0</v>
      </c>
      <c r="C34" s="106" t="s">
        <v>41</v>
      </c>
      <c r="D34" s="75"/>
      <c r="E34" s="102"/>
      <c r="F34" s="103"/>
      <c r="G34" s="104">
        <v>11890.0</v>
      </c>
      <c r="H34" s="80"/>
      <c r="I34" s="57"/>
      <c r="J34" s="82">
        <f t="shared" si="21"/>
        <v>0</v>
      </c>
      <c r="K34" s="70"/>
      <c r="L34" s="53"/>
      <c r="M34" s="57">
        <f t="shared" si="22"/>
        <v>0</v>
      </c>
      <c r="N34" s="103">
        <f t="shared" ref="N34:P34" si="25">SUM(E34,H34,K34)</f>
        <v>0</v>
      </c>
      <c r="O34" s="103">
        <f t="shared" si="25"/>
        <v>0</v>
      </c>
      <c r="P34" s="105">
        <f t="shared" si="25"/>
        <v>11890</v>
      </c>
    </row>
    <row r="35" ht="17.25" customHeight="1">
      <c r="A35" s="1"/>
      <c r="B35" s="67">
        <v>5.0</v>
      </c>
      <c r="C35" s="106" t="s">
        <v>42</v>
      </c>
      <c r="D35" s="75"/>
      <c r="E35" s="107">
        <v>38.0</v>
      </c>
      <c r="F35" s="81">
        <v>62.0</v>
      </c>
      <c r="G35" s="81">
        <v>100.0</v>
      </c>
      <c r="H35" s="80"/>
      <c r="I35" s="57"/>
      <c r="J35" s="82">
        <f t="shared" si="21"/>
        <v>0</v>
      </c>
      <c r="K35" s="70"/>
      <c r="L35" s="53"/>
      <c r="M35" s="57">
        <f t="shared" si="22"/>
        <v>0</v>
      </c>
      <c r="N35" s="57">
        <f t="shared" ref="N35:P35" si="26">SUM(E35,H35,K35)</f>
        <v>38</v>
      </c>
      <c r="O35" s="57">
        <f t="shared" si="26"/>
        <v>62</v>
      </c>
      <c r="P35" s="59">
        <f t="shared" si="26"/>
        <v>100</v>
      </c>
    </row>
    <row r="36" ht="17.25" customHeight="1">
      <c r="A36" s="1"/>
      <c r="B36" s="67">
        <v>6.0</v>
      </c>
      <c r="C36" s="106" t="s">
        <v>43</v>
      </c>
      <c r="D36" s="75"/>
      <c r="E36" s="70"/>
      <c r="F36" s="57"/>
      <c r="G36" s="108">
        <v>2589.0</v>
      </c>
      <c r="H36" s="70"/>
      <c r="I36" s="57"/>
      <c r="J36" s="82">
        <f t="shared" si="21"/>
        <v>0</v>
      </c>
      <c r="K36" s="70"/>
      <c r="L36" s="53"/>
      <c r="M36" s="57">
        <f t="shared" si="22"/>
        <v>0</v>
      </c>
      <c r="N36" s="57">
        <f t="shared" ref="N36:P36" si="27">SUM(E36,H36,K36)</f>
        <v>0</v>
      </c>
      <c r="O36" s="57">
        <f t="shared" si="27"/>
        <v>0</v>
      </c>
      <c r="P36" s="105">
        <f t="shared" si="27"/>
        <v>2589</v>
      </c>
    </row>
    <row r="37" ht="17.25" customHeight="1">
      <c r="A37" s="1"/>
      <c r="B37" s="67"/>
      <c r="C37" s="106" t="s">
        <v>44</v>
      </c>
      <c r="D37" s="75"/>
      <c r="E37" s="70"/>
      <c r="F37" s="57"/>
      <c r="G37" s="109">
        <f>SUM(E37:F37)</f>
        <v>0</v>
      </c>
      <c r="H37" s="70"/>
      <c r="I37" s="57"/>
      <c r="J37" s="110">
        <f t="shared" si="21"/>
        <v>0</v>
      </c>
      <c r="K37" s="70"/>
      <c r="L37" s="53"/>
      <c r="M37" s="59">
        <f t="shared" si="22"/>
        <v>0</v>
      </c>
      <c r="N37" s="111">
        <f t="shared" ref="N37:P37" si="28">SUM(E37,H37,K37)</f>
        <v>0</v>
      </c>
      <c r="O37" s="59">
        <f t="shared" si="28"/>
        <v>0</v>
      </c>
      <c r="P37" s="59">
        <f t="shared" si="28"/>
        <v>0</v>
      </c>
    </row>
    <row r="38" ht="24.0" customHeight="1">
      <c r="A38" s="1"/>
      <c r="B38" s="112" t="s">
        <v>45</v>
      </c>
      <c r="C38" s="113"/>
      <c r="D38" s="114"/>
      <c r="E38" s="115">
        <f t="shared" ref="E38:P38" si="29">SUM(E15:E37)</f>
        <v>1888</v>
      </c>
      <c r="F38" s="116">
        <f t="shared" si="29"/>
        <v>1767</v>
      </c>
      <c r="G38" s="115">
        <f t="shared" si="29"/>
        <v>27884</v>
      </c>
      <c r="H38" s="115">
        <f t="shared" si="29"/>
        <v>0</v>
      </c>
      <c r="I38" s="115">
        <f t="shared" si="29"/>
        <v>0</v>
      </c>
      <c r="J38" s="115">
        <f t="shared" si="29"/>
        <v>102</v>
      </c>
      <c r="K38" s="115">
        <f t="shared" si="29"/>
        <v>0</v>
      </c>
      <c r="L38" s="115">
        <f t="shared" si="29"/>
        <v>0</v>
      </c>
      <c r="M38" s="115">
        <f t="shared" si="29"/>
        <v>0</v>
      </c>
      <c r="N38" s="115">
        <f t="shared" si="29"/>
        <v>1888</v>
      </c>
      <c r="O38" s="115">
        <f t="shared" si="29"/>
        <v>1767</v>
      </c>
      <c r="P38" s="115">
        <f t="shared" si="29"/>
        <v>27986</v>
      </c>
    </row>
    <row r="39" ht="15.75" customHeight="1">
      <c r="A39" s="1"/>
      <c r="B39" s="117" t="s">
        <v>46</v>
      </c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</row>
    <row r="40" ht="21.0" customHeight="1">
      <c r="A40" s="1"/>
      <c r="B40" s="118" t="s">
        <v>47</v>
      </c>
      <c r="C40" s="27"/>
      <c r="D40" s="27"/>
      <c r="E40" s="27"/>
      <c r="F40" s="27"/>
      <c r="G40" s="27"/>
      <c r="H40" s="27"/>
      <c r="I40" s="27"/>
      <c r="J40" s="56"/>
      <c r="K40" s="119"/>
      <c r="L40" s="119"/>
      <c r="M40" s="119"/>
      <c r="N40" s="119"/>
      <c r="O40" s="119"/>
      <c r="P40" s="119"/>
    </row>
    <row r="41" ht="21.0" customHeight="1">
      <c r="A41" s="1"/>
      <c r="B41" s="120" t="s">
        <v>9</v>
      </c>
      <c r="C41" s="56"/>
      <c r="D41" s="121">
        <v>45658.0</v>
      </c>
      <c r="E41" s="27"/>
      <c r="F41" s="27"/>
      <c r="G41" s="27"/>
      <c r="H41" s="27"/>
      <c r="I41" s="27"/>
      <c r="J41" s="56"/>
      <c r="K41" s="1"/>
      <c r="L41" s="1"/>
      <c r="M41" s="1"/>
      <c r="N41" s="1"/>
      <c r="O41" s="1"/>
      <c r="P41" s="1"/>
    </row>
    <row r="42" ht="21.0" customHeight="1">
      <c r="A42" s="1"/>
      <c r="B42" s="122"/>
      <c r="C42" s="123" t="s">
        <v>12</v>
      </c>
      <c r="D42" s="124" t="s">
        <v>17</v>
      </c>
      <c r="E42" s="125" t="s">
        <v>48</v>
      </c>
      <c r="F42" s="125" t="s">
        <v>49</v>
      </c>
      <c r="G42" s="125" t="s">
        <v>50</v>
      </c>
      <c r="H42" s="126" t="s">
        <v>51</v>
      </c>
      <c r="I42" s="126" t="s">
        <v>52</v>
      </c>
      <c r="J42" s="126" t="s">
        <v>53</v>
      </c>
      <c r="K42" s="1"/>
      <c r="L42" s="1"/>
      <c r="M42" s="1"/>
      <c r="N42" s="1"/>
      <c r="O42" s="1"/>
      <c r="P42" s="1"/>
    </row>
    <row r="43" ht="26.25" customHeight="1">
      <c r="A43" s="1"/>
      <c r="B43" s="34"/>
      <c r="C43" s="34"/>
      <c r="D43" s="34"/>
      <c r="E43" s="34"/>
      <c r="F43" s="34"/>
      <c r="G43" s="34"/>
      <c r="H43" s="34"/>
      <c r="I43" s="34"/>
      <c r="J43" s="34"/>
      <c r="K43" s="1"/>
      <c r="L43" s="1"/>
      <c r="M43" s="1"/>
      <c r="N43" s="1"/>
      <c r="O43" s="1"/>
      <c r="P43" s="1"/>
    </row>
    <row r="44" ht="47.25" customHeight="1">
      <c r="A44" s="1"/>
      <c r="B44" s="46"/>
      <c r="C44" s="46"/>
      <c r="D44" s="46"/>
      <c r="E44" s="46"/>
      <c r="F44" s="46"/>
      <c r="G44" s="46"/>
      <c r="H44" s="46"/>
      <c r="I44" s="46"/>
      <c r="J44" s="46"/>
      <c r="K44" s="1"/>
      <c r="L44" s="1"/>
      <c r="M44" s="1"/>
      <c r="N44" s="1"/>
      <c r="O44" s="1"/>
      <c r="P44" s="1"/>
    </row>
    <row r="45" ht="21.0" customHeight="1">
      <c r="A45" s="1"/>
      <c r="B45" s="53">
        <v>1.0</v>
      </c>
      <c r="C45" s="127" t="s">
        <v>54</v>
      </c>
      <c r="D45" s="57"/>
      <c r="E45" s="57">
        <v>842.0</v>
      </c>
      <c r="F45" s="57">
        <v>842.0</v>
      </c>
      <c r="G45" s="57">
        <v>421.0</v>
      </c>
      <c r="H45" s="57"/>
      <c r="I45" s="57"/>
      <c r="J45" s="57"/>
      <c r="K45" s="1"/>
      <c r="L45" s="1"/>
      <c r="M45" s="1"/>
      <c r="N45" s="1"/>
      <c r="O45" s="1"/>
      <c r="P45" s="1"/>
    </row>
    <row r="46" ht="27.0" customHeight="1">
      <c r="A46" s="128"/>
      <c r="B46" s="129">
        <v>2.0</v>
      </c>
      <c r="C46" s="73" t="s">
        <v>27</v>
      </c>
      <c r="D46" s="130"/>
      <c r="E46" s="131">
        <v>860.0</v>
      </c>
      <c r="F46" s="131">
        <v>0.0</v>
      </c>
      <c r="G46" s="131">
        <v>0.0</v>
      </c>
      <c r="H46" s="131"/>
      <c r="I46" s="131"/>
      <c r="J46" s="131"/>
      <c r="K46" s="132"/>
      <c r="L46" s="132"/>
      <c r="M46" s="132"/>
      <c r="N46" s="132"/>
      <c r="O46" s="132"/>
      <c r="P46" s="132"/>
    </row>
    <row r="47" ht="21.0" customHeight="1">
      <c r="A47" s="1"/>
      <c r="B47" s="53">
        <v>3.0</v>
      </c>
      <c r="C47" s="133" t="s">
        <v>55</v>
      </c>
      <c r="D47" s="57"/>
      <c r="E47" s="134">
        <v>0.0</v>
      </c>
      <c r="F47" s="53">
        <v>0.0</v>
      </c>
      <c r="G47" s="53">
        <v>0.0</v>
      </c>
      <c r="H47" s="57"/>
      <c r="I47" s="57"/>
      <c r="J47" s="57"/>
      <c r="K47" s="1"/>
      <c r="L47" s="1"/>
      <c r="M47" s="1"/>
      <c r="N47" s="1"/>
      <c r="O47" s="1"/>
      <c r="P47" s="1"/>
    </row>
    <row r="48" ht="21.0" customHeight="1">
      <c r="A48" s="1"/>
      <c r="B48" s="53">
        <v>4.0</v>
      </c>
      <c r="C48" s="133" t="s">
        <v>56</v>
      </c>
      <c r="D48" s="57"/>
      <c r="E48" s="57">
        <v>298.0</v>
      </c>
      <c r="F48" s="57">
        <v>519.0</v>
      </c>
      <c r="G48" s="57">
        <v>319.0</v>
      </c>
      <c r="H48" s="57"/>
      <c r="I48" s="57"/>
      <c r="J48" s="57"/>
      <c r="K48" s="1"/>
      <c r="L48" s="1"/>
      <c r="M48" s="1"/>
      <c r="N48" s="1"/>
      <c r="O48" s="1"/>
      <c r="P48" s="1"/>
    </row>
    <row r="49" ht="21.0" customHeight="1">
      <c r="A49" s="1"/>
      <c r="B49" s="53">
        <v>5.0</v>
      </c>
      <c r="C49" s="127" t="s">
        <v>57</v>
      </c>
      <c r="D49" s="135"/>
      <c r="E49" s="53">
        <v>0.0</v>
      </c>
      <c r="F49" s="53">
        <v>0.0</v>
      </c>
      <c r="G49" s="53">
        <v>0.0</v>
      </c>
      <c r="H49" s="53"/>
      <c r="I49" s="53"/>
      <c r="J49" s="53"/>
      <c r="K49" s="1"/>
      <c r="L49" s="1"/>
      <c r="M49" s="1"/>
      <c r="N49" s="1"/>
      <c r="O49" s="1"/>
      <c r="P49" s="1"/>
    </row>
    <row r="50" ht="21.0" customHeight="1">
      <c r="A50" s="1"/>
      <c r="B50" s="53">
        <v>6.0</v>
      </c>
      <c r="C50" s="133" t="s">
        <v>58</v>
      </c>
      <c r="D50" s="57"/>
      <c r="E50" s="136" t="s">
        <v>23</v>
      </c>
      <c r="F50" s="27"/>
      <c r="G50" s="56"/>
      <c r="H50" s="57"/>
      <c r="I50" s="57"/>
      <c r="J50" s="57"/>
      <c r="K50" s="1"/>
      <c r="L50" s="1"/>
      <c r="M50" s="1"/>
      <c r="N50" s="1"/>
      <c r="O50" s="1"/>
      <c r="P50" s="1"/>
    </row>
    <row r="51" ht="21.0" customHeight="1">
      <c r="A51" s="1"/>
      <c r="B51" s="53">
        <v>7.0</v>
      </c>
      <c r="C51" s="137" t="s">
        <v>59</v>
      </c>
      <c r="D51" s="57"/>
      <c r="E51" s="136" t="s">
        <v>23</v>
      </c>
      <c r="F51" s="27"/>
      <c r="G51" s="56"/>
      <c r="H51" s="57"/>
      <c r="I51" s="57"/>
      <c r="J51" s="57"/>
      <c r="K51" s="1"/>
      <c r="L51" s="1"/>
      <c r="M51" s="1"/>
      <c r="N51" s="1"/>
      <c r="O51" s="1"/>
      <c r="P51" s="1"/>
    </row>
    <row r="52" ht="21.0" customHeight="1">
      <c r="A52" s="1"/>
      <c r="B52" s="53">
        <v>8.0</v>
      </c>
      <c r="C52" s="133" t="s">
        <v>60</v>
      </c>
      <c r="D52" s="57"/>
      <c r="E52" s="57">
        <v>44.0</v>
      </c>
      <c r="F52" s="57">
        <v>44.0</v>
      </c>
      <c r="G52" s="57">
        <v>22.0</v>
      </c>
      <c r="H52" s="57"/>
      <c r="I52" s="57"/>
      <c r="J52" s="57"/>
      <c r="K52" s="1"/>
      <c r="L52" s="1"/>
      <c r="M52" s="1"/>
      <c r="N52" s="1"/>
      <c r="O52" s="1"/>
      <c r="P52" s="1"/>
    </row>
    <row r="53" ht="21.0" customHeight="1">
      <c r="A53" s="1"/>
      <c r="B53" s="53">
        <v>9.0</v>
      </c>
      <c r="C53" s="133" t="s">
        <v>61</v>
      </c>
      <c r="D53" s="57"/>
      <c r="E53" s="57">
        <v>200.0</v>
      </c>
      <c r="F53" s="57">
        <v>204.0</v>
      </c>
      <c r="G53" s="57">
        <v>103.0</v>
      </c>
      <c r="H53" s="57"/>
      <c r="I53" s="57"/>
      <c r="J53" s="57"/>
      <c r="K53" s="1"/>
      <c r="L53" s="1"/>
      <c r="M53" s="1"/>
      <c r="N53" s="1"/>
      <c r="O53" s="1"/>
      <c r="P53" s="1"/>
    </row>
    <row r="54" ht="21.0" customHeight="1">
      <c r="A54" s="1"/>
      <c r="B54" s="138" t="s">
        <v>45</v>
      </c>
      <c r="C54" s="56"/>
      <c r="D54" s="139"/>
      <c r="E54" s="140">
        <f t="shared" ref="E54:G54" si="30">SUM(E45:E53)</f>
        <v>2244</v>
      </c>
      <c r="F54" s="140">
        <f t="shared" si="30"/>
        <v>1609</v>
      </c>
      <c r="G54" s="140">
        <f t="shared" si="30"/>
        <v>865</v>
      </c>
      <c r="H54" s="140"/>
      <c r="I54" s="140"/>
      <c r="J54" s="140"/>
      <c r="K54" s="1"/>
      <c r="L54" s="1"/>
      <c r="M54" s="1"/>
      <c r="N54" s="1"/>
      <c r="O54" s="1"/>
      <c r="P54" s="1"/>
    </row>
    <row r="55" ht="21.0" customHeight="1">
      <c r="A55" s="1"/>
      <c r="B55" s="117" t="s">
        <v>62</v>
      </c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</row>
    <row r="56" ht="15.0" customHeight="1">
      <c r="A56" s="1"/>
      <c r="B56" s="117" t="s">
        <v>63</v>
      </c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</row>
    <row r="57" ht="13.5" customHeight="1">
      <c r="A57" s="1"/>
      <c r="B57" s="117" t="s">
        <v>64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</row>
  </sheetData>
  <mergeCells count="32">
    <mergeCell ref="N11:P13"/>
    <mergeCell ref="K12:M13"/>
    <mergeCell ref="E13:G13"/>
    <mergeCell ref="H13:J13"/>
    <mergeCell ref="H4:I4"/>
    <mergeCell ref="B10:P10"/>
    <mergeCell ref="B11:C11"/>
    <mergeCell ref="E11:M11"/>
    <mergeCell ref="B12:B14"/>
    <mergeCell ref="C12:C14"/>
    <mergeCell ref="E12:J12"/>
    <mergeCell ref="D15:F15"/>
    <mergeCell ref="D16:F16"/>
    <mergeCell ref="D20:F20"/>
    <mergeCell ref="D21:F21"/>
    <mergeCell ref="D23:F23"/>
    <mergeCell ref="B38:C38"/>
    <mergeCell ref="B40:J40"/>
    <mergeCell ref="G42:G44"/>
    <mergeCell ref="H42:H44"/>
    <mergeCell ref="E50:G50"/>
    <mergeCell ref="E51:G51"/>
    <mergeCell ref="B54:C54"/>
    <mergeCell ref="I42:I44"/>
    <mergeCell ref="J42:J44"/>
    <mergeCell ref="B41:C41"/>
    <mergeCell ref="D41:J41"/>
    <mergeCell ref="B42:B44"/>
    <mergeCell ref="C42:C44"/>
    <mergeCell ref="D42:D44"/>
    <mergeCell ref="E42:E44"/>
    <mergeCell ref="F42:F44"/>
  </mergeCells>
  <printOptions horizontalCentered="1"/>
  <pageMargins bottom="0.75" footer="0.0" header="0.0" left="0.25" right="0.25" top="0.75"/>
  <pageSetup fitToHeight="0" paperSize="14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 fitToPage="1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5.63"/>
    <col customWidth="1" min="3" max="3" width="32.38"/>
    <col customWidth="1" min="4" max="4" width="9.13"/>
    <col customWidth="1" min="5" max="14" width="7.63"/>
    <col customWidth="1" min="15" max="15" width="10.38"/>
    <col customWidth="1" min="16" max="16" width="10.75"/>
  </cols>
  <sheetData>
    <row r="1" ht="13.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 t="s">
        <v>1</v>
      </c>
    </row>
    <row r="2" ht="14.25" customHeight="1">
      <c r="A2" s="1"/>
      <c r="B2" s="3" t="s">
        <v>2</v>
      </c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8.25" customHeight="1">
      <c r="A3" s="1"/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5.75" customHeight="1">
      <c r="A4" s="1"/>
      <c r="B4" s="1"/>
      <c r="C4" s="1"/>
      <c r="D4" s="1"/>
      <c r="E4" s="1"/>
      <c r="F4" s="4" t="s">
        <v>3</v>
      </c>
      <c r="G4" s="4"/>
      <c r="H4" s="141">
        <v>45689.0</v>
      </c>
      <c r="I4" s="6"/>
      <c r="J4" s="7"/>
      <c r="K4" s="7"/>
      <c r="L4" s="7"/>
      <c r="M4" s="7"/>
      <c r="N4" s="7"/>
      <c r="O4" s="7"/>
      <c r="P4" s="8"/>
    </row>
    <row r="5" ht="15.75" customHeight="1">
      <c r="A5" s="1"/>
      <c r="B5" s="1"/>
      <c r="C5" s="1"/>
      <c r="D5" s="1"/>
      <c r="E5" s="1"/>
      <c r="F5" s="4" t="s">
        <v>4</v>
      </c>
      <c r="G5" s="4"/>
      <c r="H5" s="9" t="s">
        <v>5</v>
      </c>
      <c r="I5" s="9"/>
      <c r="J5" s="9"/>
      <c r="K5" s="9"/>
      <c r="L5" s="9"/>
      <c r="M5" s="9"/>
      <c r="N5" s="9"/>
      <c r="O5" s="9"/>
      <c r="P5" s="8"/>
    </row>
    <row r="6" ht="15.75" customHeight="1">
      <c r="A6" s="1"/>
      <c r="B6" s="1"/>
      <c r="C6" s="1"/>
      <c r="D6" s="1"/>
      <c r="E6" s="1"/>
      <c r="F6" s="4" t="s">
        <v>6</v>
      </c>
      <c r="G6" s="4"/>
      <c r="H6" s="7"/>
      <c r="I6" s="7"/>
      <c r="J6" s="7"/>
      <c r="K6" s="7"/>
      <c r="L6" s="7"/>
      <c r="M6" s="7"/>
      <c r="N6" s="7"/>
      <c r="O6" s="7"/>
      <c r="P6" s="8"/>
    </row>
    <row r="7" ht="15.75" customHeight="1">
      <c r="A7" s="1"/>
      <c r="B7" s="1"/>
      <c r="C7" s="1"/>
      <c r="D7" s="10"/>
      <c r="E7" s="10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ht="15.75" customHeight="1">
      <c r="A8" s="1"/>
      <c r="B8" s="1"/>
      <c r="C8" s="1"/>
      <c r="D8" s="4"/>
      <c r="E8" s="4" t="s">
        <v>7</v>
      </c>
      <c r="F8" s="11"/>
      <c r="G8" s="8"/>
      <c r="H8" s="10"/>
      <c r="I8" s="10"/>
      <c r="J8" s="10"/>
      <c r="K8" s="10"/>
      <c r="L8" s="10"/>
      <c r="M8" s="10"/>
      <c r="N8" s="10"/>
      <c r="O8" s="10"/>
      <c r="P8" s="1"/>
    </row>
    <row r="9" ht="17.25" customHeight="1">
      <c r="A9" s="1"/>
      <c r="B9" s="1"/>
      <c r="C9" s="1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ht="17.25" customHeight="1">
      <c r="A10" s="1"/>
      <c r="B10" s="12" t="s">
        <v>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ht="16.5" customHeight="1">
      <c r="A11" s="1"/>
      <c r="B11" s="14" t="s">
        <v>9</v>
      </c>
      <c r="C11" s="15"/>
      <c r="D11" s="16"/>
      <c r="E11" s="17" t="s">
        <v>10</v>
      </c>
      <c r="F11" s="18"/>
      <c r="G11" s="18"/>
      <c r="H11" s="18"/>
      <c r="I11" s="18"/>
      <c r="J11" s="18"/>
      <c r="K11" s="18"/>
      <c r="L11" s="18"/>
      <c r="M11" s="19"/>
      <c r="N11" s="20" t="s">
        <v>11</v>
      </c>
      <c r="O11" s="21"/>
      <c r="P11" s="22"/>
    </row>
    <row r="12" ht="15.0" customHeight="1">
      <c r="A12" s="1"/>
      <c r="B12" s="23"/>
      <c r="C12" s="24" t="s">
        <v>12</v>
      </c>
      <c r="D12" s="25"/>
      <c r="E12" s="26" t="s">
        <v>13</v>
      </c>
      <c r="F12" s="27"/>
      <c r="G12" s="27"/>
      <c r="H12" s="27"/>
      <c r="I12" s="27"/>
      <c r="J12" s="27"/>
      <c r="K12" s="28" t="s">
        <v>14</v>
      </c>
      <c r="L12" s="29"/>
      <c r="M12" s="30"/>
      <c r="N12" s="31"/>
      <c r="P12" s="32"/>
    </row>
    <row r="13" ht="28.5" customHeight="1">
      <c r="A13" s="1"/>
      <c r="B13" s="33"/>
      <c r="C13" s="34"/>
      <c r="D13" s="35"/>
      <c r="E13" s="36" t="s">
        <v>15</v>
      </c>
      <c r="F13" s="37"/>
      <c r="G13" s="38"/>
      <c r="H13" s="36" t="s">
        <v>16</v>
      </c>
      <c r="I13" s="37"/>
      <c r="J13" s="38"/>
      <c r="K13" s="39"/>
      <c r="L13" s="40"/>
      <c r="M13" s="41"/>
      <c r="N13" s="42"/>
      <c r="O13" s="43"/>
      <c r="P13" s="44"/>
    </row>
    <row r="14" ht="36.75" customHeight="1">
      <c r="A14" s="1"/>
      <c r="B14" s="45"/>
      <c r="C14" s="46"/>
      <c r="D14" s="47" t="s">
        <v>17</v>
      </c>
      <c r="E14" s="48" t="s">
        <v>18</v>
      </c>
      <c r="F14" s="49" t="s">
        <v>19</v>
      </c>
      <c r="G14" s="50" t="s">
        <v>20</v>
      </c>
      <c r="H14" s="48" t="s">
        <v>18</v>
      </c>
      <c r="I14" s="51" t="s">
        <v>19</v>
      </c>
      <c r="J14" s="50" t="s">
        <v>20</v>
      </c>
      <c r="K14" s="48" t="s">
        <v>21</v>
      </c>
      <c r="L14" s="51" t="s">
        <v>19</v>
      </c>
      <c r="M14" s="52" t="s">
        <v>20</v>
      </c>
      <c r="N14" s="50" t="s">
        <v>18</v>
      </c>
      <c r="O14" s="50" t="s">
        <v>19</v>
      </c>
      <c r="P14" s="50" t="s">
        <v>20</v>
      </c>
    </row>
    <row r="15" ht="17.25" customHeight="1">
      <c r="A15" s="1"/>
      <c r="B15" s="53">
        <v>1.0</v>
      </c>
      <c r="C15" s="54" t="s">
        <v>22</v>
      </c>
      <c r="D15" s="55" t="s">
        <v>23</v>
      </c>
      <c r="E15" s="27"/>
      <c r="F15" s="56"/>
      <c r="G15" s="57"/>
      <c r="H15" s="57"/>
      <c r="I15" s="57"/>
      <c r="J15" s="57"/>
      <c r="K15" s="57"/>
      <c r="L15" s="58"/>
      <c r="M15" s="57">
        <f t="shared" ref="M15:M29" si="2">SUM(K15:L15)</f>
        <v>0</v>
      </c>
      <c r="N15" s="57">
        <f t="shared" ref="N15:P15" si="1">SUM(E15,H15,K15)</f>
        <v>0</v>
      </c>
      <c r="O15" s="57">
        <f t="shared" si="1"/>
        <v>0</v>
      </c>
      <c r="P15" s="57">
        <f t="shared" si="1"/>
        <v>0</v>
      </c>
    </row>
    <row r="16" ht="17.25" customHeight="1">
      <c r="A16" s="1"/>
      <c r="B16" s="60">
        <v>2.0</v>
      </c>
      <c r="C16" s="61" t="s">
        <v>24</v>
      </c>
      <c r="D16" s="55" t="s">
        <v>23</v>
      </c>
      <c r="E16" s="27"/>
      <c r="F16" s="56"/>
      <c r="G16" s="57"/>
      <c r="H16" s="64"/>
      <c r="I16" s="65"/>
      <c r="J16" s="57"/>
      <c r="K16" s="64"/>
      <c r="L16" s="66"/>
      <c r="M16" s="57">
        <f t="shared" si="2"/>
        <v>0</v>
      </c>
      <c r="N16" s="57">
        <f t="shared" ref="N16:P16" si="3">SUM(E16,H16,K16)</f>
        <v>0</v>
      </c>
      <c r="O16" s="57">
        <f t="shared" si="3"/>
        <v>0</v>
      </c>
      <c r="P16" s="57">
        <f t="shared" si="3"/>
        <v>0</v>
      </c>
    </row>
    <row r="17" ht="17.25" customHeight="1">
      <c r="A17" s="1"/>
      <c r="B17" s="67">
        <v>3.0</v>
      </c>
      <c r="C17" s="54" t="s">
        <v>25</v>
      </c>
      <c r="D17" s="142"/>
      <c r="E17" s="143">
        <v>51.0</v>
      </c>
      <c r="F17" s="144">
        <v>34.0</v>
      </c>
      <c r="G17" s="145">
        <v>85.0</v>
      </c>
      <c r="H17" s="70"/>
      <c r="I17" s="57"/>
      <c r="J17" s="57"/>
      <c r="K17" s="70"/>
      <c r="L17" s="58"/>
      <c r="M17" s="57">
        <f t="shared" si="2"/>
        <v>0</v>
      </c>
      <c r="N17" s="57">
        <f t="shared" ref="N17:P17" si="4">SUM(E17,H17,K17)</f>
        <v>51</v>
      </c>
      <c r="O17" s="57">
        <f t="shared" si="4"/>
        <v>34</v>
      </c>
      <c r="P17" s="57">
        <f t="shared" si="4"/>
        <v>85</v>
      </c>
    </row>
    <row r="18" ht="17.25" customHeight="1">
      <c r="A18" s="1"/>
      <c r="B18" s="67">
        <v>4.0</v>
      </c>
      <c r="C18" s="54" t="s">
        <v>26</v>
      </c>
      <c r="D18" s="71"/>
      <c r="E18" s="72">
        <v>161.0</v>
      </c>
      <c r="F18" s="71">
        <v>99.0</v>
      </c>
      <c r="G18" s="57">
        <v>247.0</v>
      </c>
      <c r="H18" s="70"/>
      <c r="I18" s="57"/>
      <c r="J18" s="57"/>
      <c r="K18" s="70"/>
      <c r="L18" s="58"/>
      <c r="M18" s="57">
        <f t="shared" si="2"/>
        <v>0</v>
      </c>
      <c r="N18" s="57">
        <f t="shared" ref="N18:P18" si="5">SUM(E18,H18,K18)</f>
        <v>161</v>
      </c>
      <c r="O18" s="57">
        <f t="shared" si="5"/>
        <v>99</v>
      </c>
      <c r="P18" s="57">
        <f t="shared" si="5"/>
        <v>247</v>
      </c>
    </row>
    <row r="19" ht="17.25" customHeight="1">
      <c r="A19" s="1"/>
      <c r="B19" s="67">
        <v>5.0</v>
      </c>
      <c r="C19" s="73" t="s">
        <v>27</v>
      </c>
      <c r="D19" s="74"/>
      <c r="E19" s="70"/>
      <c r="F19" s="75"/>
      <c r="G19" s="81">
        <v>860.0</v>
      </c>
      <c r="H19" s="70"/>
      <c r="I19" s="57"/>
      <c r="J19" s="57"/>
      <c r="K19" s="70"/>
      <c r="L19" s="58"/>
      <c r="M19" s="57">
        <f t="shared" si="2"/>
        <v>0</v>
      </c>
      <c r="N19" s="57">
        <f t="shared" ref="N19:P19" si="6">SUM(E19,H19,K19)</f>
        <v>0</v>
      </c>
      <c r="O19" s="57">
        <f t="shared" si="6"/>
        <v>0</v>
      </c>
      <c r="P19" s="57">
        <f t="shared" si="6"/>
        <v>860</v>
      </c>
    </row>
    <row r="20" ht="17.25" customHeight="1">
      <c r="A20" s="1"/>
      <c r="B20" s="67">
        <v>6.0</v>
      </c>
      <c r="C20" s="54" t="s">
        <v>28</v>
      </c>
      <c r="D20" s="55" t="s">
        <v>23</v>
      </c>
      <c r="E20" s="27"/>
      <c r="F20" s="56"/>
      <c r="G20" s="57"/>
      <c r="H20" s="70"/>
      <c r="I20" s="57"/>
      <c r="J20" s="57"/>
      <c r="K20" s="70"/>
      <c r="L20" s="58"/>
      <c r="M20" s="57">
        <f t="shared" si="2"/>
        <v>0</v>
      </c>
      <c r="N20" s="57">
        <f t="shared" ref="N20:P20" si="7">SUM(E20,H20,K20)</f>
        <v>0</v>
      </c>
      <c r="O20" s="57">
        <f t="shared" si="7"/>
        <v>0</v>
      </c>
      <c r="P20" s="57">
        <f t="shared" si="7"/>
        <v>0</v>
      </c>
    </row>
    <row r="21" ht="17.25" customHeight="1">
      <c r="A21" s="1"/>
      <c r="B21" s="67">
        <v>7.0</v>
      </c>
      <c r="C21" s="54" t="s">
        <v>29</v>
      </c>
      <c r="D21" s="55" t="s">
        <v>23</v>
      </c>
      <c r="E21" s="27"/>
      <c r="F21" s="56"/>
      <c r="G21" s="57"/>
      <c r="H21" s="70"/>
      <c r="I21" s="57"/>
      <c r="J21" s="57"/>
      <c r="K21" s="70"/>
      <c r="L21" s="58"/>
      <c r="M21" s="57">
        <f t="shared" si="2"/>
        <v>0</v>
      </c>
      <c r="N21" s="57">
        <f t="shared" ref="N21:P21" si="8">SUM(E21,H21,K21)</f>
        <v>0</v>
      </c>
      <c r="O21" s="57">
        <f t="shared" si="8"/>
        <v>0</v>
      </c>
      <c r="P21" s="57">
        <f t="shared" si="8"/>
        <v>0</v>
      </c>
    </row>
    <row r="22" ht="17.25" customHeight="1">
      <c r="A22" s="1"/>
      <c r="B22" s="67">
        <v>8.0</v>
      </c>
      <c r="C22" s="54" t="s">
        <v>30</v>
      </c>
      <c r="D22" s="74"/>
      <c r="E22" s="70">
        <v>814.0</v>
      </c>
      <c r="F22" s="75">
        <v>807.0</v>
      </c>
      <c r="G22" s="104">
        <v>1620.0</v>
      </c>
      <c r="H22" s="70"/>
      <c r="I22" s="57"/>
      <c r="J22" s="57"/>
      <c r="K22" s="70"/>
      <c r="L22" s="58"/>
      <c r="M22" s="57">
        <f t="shared" si="2"/>
        <v>0</v>
      </c>
      <c r="N22" s="57">
        <f t="shared" ref="N22:P22" si="9">SUM(E22,H22,K22)</f>
        <v>814</v>
      </c>
      <c r="O22" s="57">
        <f t="shared" si="9"/>
        <v>807</v>
      </c>
      <c r="P22" s="103">
        <f t="shared" si="9"/>
        <v>1620</v>
      </c>
    </row>
    <row r="23" ht="17.25" customHeight="1">
      <c r="A23" s="1"/>
      <c r="B23" s="67">
        <v>9.0</v>
      </c>
      <c r="C23" s="54" t="s">
        <v>31</v>
      </c>
      <c r="D23" s="55" t="s">
        <v>23</v>
      </c>
      <c r="E23" s="27"/>
      <c r="F23" s="56"/>
      <c r="G23" s="57"/>
      <c r="H23" s="70"/>
      <c r="I23" s="57"/>
      <c r="J23" s="57"/>
      <c r="K23" s="70"/>
      <c r="L23" s="58"/>
      <c r="M23" s="57">
        <f t="shared" si="2"/>
        <v>0</v>
      </c>
      <c r="N23" s="57">
        <f t="shared" ref="N23:P23" si="10">SUM(E23,H23,K23)</f>
        <v>0</v>
      </c>
      <c r="O23" s="57">
        <f t="shared" si="10"/>
        <v>0</v>
      </c>
      <c r="P23" s="57">
        <f t="shared" si="10"/>
        <v>0</v>
      </c>
    </row>
    <row r="24" ht="17.25" customHeight="1">
      <c r="A24" s="1"/>
      <c r="B24" s="67">
        <v>10.0</v>
      </c>
      <c r="C24" s="146" t="s">
        <v>32</v>
      </c>
      <c r="D24" s="74"/>
      <c r="E24" s="70"/>
      <c r="F24" s="75"/>
      <c r="G24" s="57">
        <v>168.0</v>
      </c>
      <c r="H24" s="70"/>
      <c r="I24" s="57"/>
      <c r="J24" s="57"/>
      <c r="K24" s="70"/>
      <c r="L24" s="58"/>
      <c r="M24" s="57">
        <f t="shared" si="2"/>
        <v>0</v>
      </c>
      <c r="N24" s="57">
        <f t="shared" ref="N24:P24" si="11">SUM(E24,H24,K24)</f>
        <v>0</v>
      </c>
      <c r="O24" s="57">
        <f t="shared" si="11"/>
        <v>0</v>
      </c>
      <c r="P24" s="57">
        <f t="shared" si="11"/>
        <v>168</v>
      </c>
    </row>
    <row r="25" ht="17.25" customHeight="1">
      <c r="A25" s="1"/>
      <c r="B25" s="67">
        <v>11.0</v>
      </c>
      <c r="C25" s="54" t="s">
        <v>65</v>
      </c>
      <c r="D25" s="55" t="s">
        <v>23</v>
      </c>
      <c r="E25" s="27"/>
      <c r="F25" s="56"/>
      <c r="G25" s="57"/>
      <c r="H25" s="70"/>
      <c r="I25" s="57"/>
      <c r="J25" s="57"/>
      <c r="K25" s="70"/>
      <c r="L25" s="58"/>
      <c r="M25" s="57">
        <f t="shared" si="2"/>
        <v>0</v>
      </c>
      <c r="N25" s="57">
        <f t="shared" ref="N25:P25" si="12">SUM(E25,H25,K25)</f>
        <v>0</v>
      </c>
      <c r="O25" s="57">
        <f t="shared" si="12"/>
        <v>0</v>
      </c>
      <c r="P25" s="57">
        <f t="shared" si="12"/>
        <v>0</v>
      </c>
    </row>
    <row r="26" ht="17.25" customHeight="1">
      <c r="A26" s="1"/>
      <c r="B26" s="67">
        <v>12.0</v>
      </c>
      <c r="C26" s="54" t="s">
        <v>66</v>
      </c>
      <c r="D26" s="71"/>
      <c r="E26" s="107">
        <v>166.0</v>
      </c>
      <c r="F26" s="147">
        <v>99.0</v>
      </c>
      <c r="G26" s="81">
        <v>260.0</v>
      </c>
      <c r="H26" s="70"/>
      <c r="I26" s="57"/>
      <c r="J26" s="57"/>
      <c r="K26" s="70"/>
      <c r="L26" s="58"/>
      <c r="M26" s="57">
        <f t="shared" si="2"/>
        <v>0</v>
      </c>
      <c r="N26" s="57">
        <f t="shared" ref="N26:P26" si="13">SUM(E26,H26,K26)</f>
        <v>166</v>
      </c>
      <c r="O26" s="57">
        <f t="shared" si="13"/>
        <v>99</v>
      </c>
      <c r="P26" s="57">
        <f t="shared" si="13"/>
        <v>260</v>
      </c>
    </row>
    <row r="27" ht="17.25" customHeight="1">
      <c r="A27" s="1"/>
      <c r="B27" s="67">
        <v>13.0</v>
      </c>
      <c r="C27" s="54" t="s">
        <v>35</v>
      </c>
      <c r="D27" s="74"/>
      <c r="E27" s="70">
        <v>296.0</v>
      </c>
      <c r="F27" s="57">
        <v>329.0</v>
      </c>
      <c r="G27" s="81">
        <v>625.0</v>
      </c>
      <c r="H27" s="70"/>
      <c r="I27" s="57"/>
      <c r="J27" s="57"/>
      <c r="K27" s="70"/>
      <c r="L27" s="58"/>
      <c r="M27" s="57">
        <f t="shared" si="2"/>
        <v>0</v>
      </c>
      <c r="N27" s="57">
        <f t="shared" ref="N27:P27" si="14">SUM(E27,H27,K27)</f>
        <v>296</v>
      </c>
      <c r="O27" s="57">
        <f t="shared" si="14"/>
        <v>329</v>
      </c>
      <c r="P27" s="57">
        <f t="shared" si="14"/>
        <v>625</v>
      </c>
    </row>
    <row r="28" ht="17.25" customHeight="1">
      <c r="A28" s="1"/>
      <c r="B28" s="67">
        <v>14.0</v>
      </c>
      <c r="C28" s="54" t="s">
        <v>36</v>
      </c>
      <c r="D28" s="75"/>
      <c r="E28" s="70">
        <v>47.0</v>
      </c>
      <c r="F28" s="57">
        <v>35.0</v>
      </c>
      <c r="G28" s="81">
        <v>82.0</v>
      </c>
      <c r="H28" s="70"/>
      <c r="I28" s="57"/>
      <c r="J28" s="57"/>
      <c r="K28" s="70"/>
      <c r="L28" s="58"/>
      <c r="M28" s="57">
        <f t="shared" si="2"/>
        <v>0</v>
      </c>
      <c r="N28" s="57">
        <f t="shared" ref="N28:P28" si="15">SUM(E28,H28,K28)</f>
        <v>47</v>
      </c>
      <c r="O28" s="57">
        <f t="shared" si="15"/>
        <v>35</v>
      </c>
      <c r="P28" s="57">
        <f t="shared" si="15"/>
        <v>82</v>
      </c>
    </row>
    <row r="29" ht="17.25" customHeight="1">
      <c r="A29" s="1"/>
      <c r="B29" s="67"/>
      <c r="C29" s="54"/>
      <c r="D29" s="75"/>
      <c r="E29" s="70"/>
      <c r="F29" s="57"/>
      <c r="G29" s="82"/>
      <c r="H29" s="70"/>
      <c r="I29" s="57"/>
      <c r="J29" s="82"/>
      <c r="K29" s="70"/>
      <c r="L29" s="53"/>
      <c r="M29" s="57">
        <f t="shared" si="2"/>
        <v>0</v>
      </c>
      <c r="N29" s="57">
        <f t="shared" ref="N29:P29" si="16">SUM(E29,H29,K29)</f>
        <v>0</v>
      </c>
      <c r="O29" s="57">
        <f t="shared" si="16"/>
        <v>0</v>
      </c>
      <c r="P29" s="57">
        <f t="shared" si="16"/>
        <v>0</v>
      </c>
    </row>
    <row r="30" ht="17.25" customHeight="1">
      <c r="A30" s="1"/>
      <c r="B30" s="83"/>
      <c r="C30" s="84" t="s">
        <v>37</v>
      </c>
      <c r="D30" s="85"/>
      <c r="E30" s="86"/>
      <c r="F30" s="87"/>
      <c r="G30" s="88"/>
      <c r="H30" s="86"/>
      <c r="I30" s="87"/>
      <c r="J30" s="88"/>
      <c r="K30" s="86"/>
      <c r="L30" s="89"/>
      <c r="M30" s="87"/>
      <c r="N30" s="87"/>
      <c r="O30" s="87"/>
      <c r="P30" s="87"/>
    </row>
    <row r="31" ht="17.25" customHeight="1">
      <c r="A31" s="1"/>
      <c r="B31" s="67">
        <v>1.0</v>
      </c>
      <c r="C31" s="90" t="s">
        <v>38</v>
      </c>
      <c r="D31" s="75"/>
      <c r="E31" s="70">
        <v>109.0</v>
      </c>
      <c r="F31" s="57">
        <v>47.0</v>
      </c>
      <c r="G31" s="91">
        <f>SUM(E31:F31)</f>
        <v>156</v>
      </c>
      <c r="H31" s="80"/>
      <c r="I31" s="57"/>
      <c r="J31" s="91"/>
      <c r="K31" s="80"/>
      <c r="L31" s="53"/>
      <c r="M31" s="57">
        <f t="shared" ref="M31:M37" si="18">SUM(K31:L31)</f>
        <v>0</v>
      </c>
      <c r="N31" s="57">
        <f t="shared" ref="N31:P31" si="17">SUM(E31,H31,K31)</f>
        <v>109</v>
      </c>
      <c r="O31" s="57">
        <f t="shared" si="17"/>
        <v>47</v>
      </c>
      <c r="P31" s="57">
        <f t="shared" si="17"/>
        <v>156</v>
      </c>
    </row>
    <row r="32" ht="17.25" customHeight="1">
      <c r="A32" s="1"/>
      <c r="B32" s="67">
        <v>2.0</v>
      </c>
      <c r="C32" s="92" t="s">
        <v>39</v>
      </c>
      <c r="D32" s="93"/>
      <c r="E32" s="94"/>
      <c r="F32" s="95"/>
      <c r="G32" s="96">
        <v>8700.0</v>
      </c>
      <c r="H32" s="97"/>
      <c r="I32" s="98"/>
      <c r="J32" s="98"/>
      <c r="K32" s="97"/>
      <c r="L32" s="99"/>
      <c r="M32" s="98">
        <f t="shared" si="18"/>
        <v>0</v>
      </c>
      <c r="N32" s="95">
        <f t="shared" ref="N32:P32" si="19">SUM(E32,H32,K32)</f>
        <v>0</v>
      </c>
      <c r="O32" s="95">
        <f t="shared" si="19"/>
        <v>0</v>
      </c>
      <c r="P32" s="95">
        <f t="shared" si="19"/>
        <v>8700</v>
      </c>
    </row>
    <row r="33" ht="17.25" customHeight="1">
      <c r="A33" s="1"/>
      <c r="B33" s="67">
        <v>3.0</v>
      </c>
      <c r="C33" s="101" t="s">
        <v>40</v>
      </c>
      <c r="D33" s="75"/>
      <c r="E33" s="102"/>
      <c r="F33" s="103"/>
      <c r="G33" s="104">
        <v>1480.0</v>
      </c>
      <c r="H33" s="80"/>
      <c r="I33" s="57"/>
      <c r="J33" s="82"/>
      <c r="K33" s="70"/>
      <c r="L33" s="53"/>
      <c r="M33" s="57">
        <f t="shared" si="18"/>
        <v>0</v>
      </c>
      <c r="N33" s="103">
        <f t="shared" ref="N33:P33" si="20">SUM(E33,H33,K33)</f>
        <v>0</v>
      </c>
      <c r="O33" s="103">
        <f t="shared" si="20"/>
        <v>0</v>
      </c>
      <c r="P33" s="103">
        <f t="shared" si="20"/>
        <v>1480</v>
      </c>
    </row>
    <row r="34" ht="17.25" customHeight="1">
      <c r="A34" s="1"/>
      <c r="B34" s="67">
        <v>4.0</v>
      </c>
      <c r="C34" s="106" t="s">
        <v>41</v>
      </c>
      <c r="D34" s="75"/>
      <c r="E34" s="102"/>
      <c r="F34" s="103"/>
      <c r="G34" s="104">
        <v>1456.0</v>
      </c>
      <c r="H34" s="80"/>
      <c r="I34" s="57"/>
      <c r="J34" s="82"/>
      <c r="K34" s="70"/>
      <c r="L34" s="53"/>
      <c r="M34" s="57">
        <f t="shared" si="18"/>
        <v>0</v>
      </c>
      <c r="N34" s="103">
        <f t="shared" ref="N34:P34" si="21">SUM(E34,H34,K34)</f>
        <v>0</v>
      </c>
      <c r="O34" s="103">
        <f t="shared" si="21"/>
        <v>0</v>
      </c>
      <c r="P34" s="103">
        <f t="shared" si="21"/>
        <v>1456</v>
      </c>
    </row>
    <row r="35" ht="17.25" customHeight="1">
      <c r="A35" s="1"/>
      <c r="B35" s="67">
        <v>5.0</v>
      </c>
      <c r="C35" s="106" t="s">
        <v>42</v>
      </c>
      <c r="D35" s="75"/>
      <c r="E35" s="107">
        <v>55.0</v>
      </c>
      <c r="F35" s="81">
        <v>67.0</v>
      </c>
      <c r="G35" s="81">
        <v>122.0</v>
      </c>
      <c r="H35" s="80"/>
      <c r="I35" s="57"/>
      <c r="J35" s="82"/>
      <c r="K35" s="70"/>
      <c r="L35" s="53"/>
      <c r="M35" s="57">
        <f t="shared" si="18"/>
        <v>0</v>
      </c>
      <c r="N35" s="57">
        <f t="shared" ref="N35:P35" si="22">SUM(E35,H35,K35)</f>
        <v>55</v>
      </c>
      <c r="O35" s="57">
        <f t="shared" si="22"/>
        <v>67</v>
      </c>
      <c r="P35" s="57">
        <f t="shared" si="22"/>
        <v>122</v>
      </c>
    </row>
    <row r="36" ht="17.25" customHeight="1">
      <c r="A36" s="1"/>
      <c r="B36" s="67">
        <v>6.0</v>
      </c>
      <c r="C36" s="106" t="s">
        <v>43</v>
      </c>
      <c r="D36" s="75"/>
      <c r="E36" s="70"/>
      <c r="F36" s="57"/>
      <c r="G36" s="104">
        <v>2980.0</v>
      </c>
      <c r="H36" s="80"/>
      <c r="I36" s="57"/>
      <c r="J36" s="82"/>
      <c r="K36" s="70"/>
      <c r="L36" s="53"/>
      <c r="M36" s="57">
        <f t="shared" si="18"/>
        <v>0</v>
      </c>
      <c r="N36" s="57">
        <f t="shared" ref="N36:P36" si="23">SUM(E36,H36,K36)</f>
        <v>0</v>
      </c>
      <c r="O36" s="57">
        <f t="shared" si="23"/>
        <v>0</v>
      </c>
      <c r="P36" s="103">
        <f t="shared" si="23"/>
        <v>2980</v>
      </c>
    </row>
    <row r="37" ht="17.25" customHeight="1">
      <c r="A37" s="1"/>
      <c r="B37" s="67"/>
      <c r="C37" s="106" t="s">
        <v>67</v>
      </c>
      <c r="D37" s="75"/>
      <c r="E37" s="70"/>
      <c r="F37" s="57"/>
      <c r="G37" s="148">
        <v>6789.0</v>
      </c>
      <c r="H37" s="70"/>
      <c r="I37" s="57"/>
      <c r="J37" s="110"/>
      <c r="K37" s="70"/>
      <c r="L37" s="53"/>
      <c r="M37" s="57">
        <f t="shared" si="18"/>
        <v>0</v>
      </c>
      <c r="N37" s="57">
        <f t="shared" ref="N37:P37" si="24">SUM(E37,H37,K37)</f>
        <v>0</v>
      </c>
      <c r="O37" s="57">
        <f t="shared" si="24"/>
        <v>0</v>
      </c>
      <c r="P37" s="103">
        <f t="shared" si="24"/>
        <v>6789</v>
      </c>
    </row>
    <row r="38" ht="24.0" customHeight="1">
      <c r="A38" s="1"/>
      <c r="B38" s="112" t="s">
        <v>45</v>
      </c>
      <c r="C38" s="113"/>
      <c r="D38" s="114"/>
      <c r="E38" s="115">
        <f t="shared" ref="E38:P38" si="25">SUM(E15:E37)</f>
        <v>1699</v>
      </c>
      <c r="F38" s="116">
        <f t="shared" si="25"/>
        <v>1517</v>
      </c>
      <c r="G38" s="115">
        <f t="shared" si="25"/>
        <v>25630</v>
      </c>
      <c r="H38" s="115">
        <f t="shared" si="25"/>
        <v>0</v>
      </c>
      <c r="I38" s="115">
        <f t="shared" si="25"/>
        <v>0</v>
      </c>
      <c r="J38" s="115">
        <f t="shared" si="25"/>
        <v>0</v>
      </c>
      <c r="K38" s="115">
        <f t="shared" si="25"/>
        <v>0</v>
      </c>
      <c r="L38" s="115">
        <f t="shared" si="25"/>
        <v>0</v>
      </c>
      <c r="M38" s="115">
        <f t="shared" si="25"/>
        <v>0</v>
      </c>
      <c r="N38" s="115">
        <f t="shared" si="25"/>
        <v>1699</v>
      </c>
      <c r="O38" s="115">
        <f t="shared" si="25"/>
        <v>1517</v>
      </c>
      <c r="P38" s="115">
        <f t="shared" si="25"/>
        <v>25630</v>
      </c>
    </row>
    <row r="39" ht="15.75" customHeight="1">
      <c r="A39" s="1"/>
      <c r="B39" s="117" t="s">
        <v>46</v>
      </c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</row>
    <row r="40" ht="21.0" customHeight="1">
      <c r="A40" s="1"/>
      <c r="B40" s="118" t="s">
        <v>47</v>
      </c>
      <c r="C40" s="27"/>
      <c r="D40" s="27"/>
      <c r="E40" s="27"/>
      <c r="F40" s="27"/>
      <c r="G40" s="27"/>
      <c r="H40" s="27"/>
      <c r="I40" s="27"/>
      <c r="J40" s="56"/>
      <c r="K40" s="119"/>
      <c r="L40" s="119"/>
      <c r="M40" s="119"/>
      <c r="N40" s="119"/>
      <c r="O40" s="119"/>
      <c r="P40" s="119"/>
    </row>
    <row r="41" ht="21.0" customHeight="1">
      <c r="A41" s="1"/>
      <c r="B41" s="120" t="s">
        <v>9</v>
      </c>
      <c r="C41" s="56"/>
      <c r="D41" s="121">
        <v>45689.0</v>
      </c>
      <c r="E41" s="27"/>
      <c r="F41" s="27"/>
      <c r="G41" s="27"/>
      <c r="H41" s="27"/>
      <c r="I41" s="27"/>
      <c r="J41" s="56"/>
      <c r="K41" s="1"/>
      <c r="L41" s="1"/>
      <c r="M41" s="1"/>
      <c r="N41" s="1"/>
      <c r="O41" s="1"/>
      <c r="P41" s="1"/>
    </row>
    <row r="42" ht="21.0" customHeight="1">
      <c r="A42" s="1"/>
      <c r="B42" s="122"/>
      <c r="C42" s="123" t="s">
        <v>12</v>
      </c>
      <c r="D42" s="124" t="s">
        <v>17</v>
      </c>
      <c r="E42" s="125" t="s">
        <v>68</v>
      </c>
      <c r="F42" s="125" t="s">
        <v>69</v>
      </c>
      <c r="G42" s="125" t="s">
        <v>70</v>
      </c>
      <c r="H42" s="126" t="s">
        <v>51</v>
      </c>
      <c r="I42" s="126" t="s">
        <v>52</v>
      </c>
      <c r="J42" s="126" t="s">
        <v>53</v>
      </c>
      <c r="K42" s="1"/>
      <c r="L42" s="1"/>
      <c r="M42" s="1"/>
      <c r="N42" s="1"/>
      <c r="O42" s="1"/>
      <c r="P42" s="1"/>
    </row>
    <row r="43" ht="26.25" customHeight="1">
      <c r="A43" s="1"/>
      <c r="B43" s="34"/>
      <c r="C43" s="34"/>
      <c r="D43" s="34"/>
      <c r="E43" s="34"/>
      <c r="F43" s="34"/>
      <c r="G43" s="34"/>
      <c r="H43" s="34"/>
      <c r="I43" s="34"/>
      <c r="J43" s="34"/>
      <c r="K43" s="1"/>
      <c r="L43" s="1"/>
      <c r="M43" s="1"/>
      <c r="N43" s="1"/>
      <c r="O43" s="1"/>
      <c r="P43" s="1"/>
    </row>
    <row r="44" ht="47.25" customHeight="1">
      <c r="A44" s="1"/>
      <c r="B44" s="46"/>
      <c r="C44" s="46"/>
      <c r="D44" s="46"/>
      <c r="E44" s="46"/>
      <c r="F44" s="46"/>
      <c r="G44" s="46"/>
      <c r="H44" s="46"/>
      <c r="I44" s="46"/>
      <c r="J44" s="46"/>
      <c r="K44" s="1"/>
      <c r="L44" s="1"/>
      <c r="M44" s="1"/>
      <c r="N44" s="1"/>
      <c r="O44" s="1"/>
      <c r="P44" s="1"/>
    </row>
    <row r="45" ht="21.0" customHeight="1">
      <c r="A45" s="1"/>
      <c r="B45" s="53">
        <v>1.0</v>
      </c>
      <c r="C45" s="127" t="s">
        <v>54</v>
      </c>
      <c r="D45" s="57"/>
      <c r="E45" s="57"/>
      <c r="F45" s="57">
        <v>814.0</v>
      </c>
      <c r="G45" s="57">
        <v>407.0</v>
      </c>
      <c r="H45" s="57"/>
      <c r="I45" s="57"/>
      <c r="J45" s="57"/>
      <c r="K45" s="1"/>
      <c r="L45" s="1"/>
      <c r="M45" s="1"/>
      <c r="N45" s="1"/>
      <c r="O45" s="1"/>
      <c r="P45" s="1"/>
    </row>
    <row r="46" ht="27.0" customHeight="1">
      <c r="A46" s="128"/>
      <c r="B46" s="129">
        <v>2.0</v>
      </c>
      <c r="C46" s="73" t="s">
        <v>27</v>
      </c>
      <c r="D46" s="130"/>
      <c r="E46" s="131"/>
      <c r="F46" s="131"/>
      <c r="G46" s="149">
        <v>66.0</v>
      </c>
      <c r="H46" s="131"/>
      <c r="I46" s="131"/>
      <c r="J46" s="131"/>
      <c r="K46" s="132"/>
      <c r="L46" s="132"/>
      <c r="M46" s="132"/>
      <c r="N46" s="132"/>
      <c r="O46" s="132"/>
      <c r="P46" s="132"/>
    </row>
    <row r="47" ht="21.0" customHeight="1">
      <c r="A47" s="1"/>
      <c r="B47" s="53">
        <v>3.0</v>
      </c>
      <c r="C47" s="133" t="s">
        <v>55</v>
      </c>
      <c r="D47" s="57"/>
      <c r="E47" s="136" t="s">
        <v>23</v>
      </c>
      <c r="F47" s="27"/>
      <c r="G47" s="56"/>
      <c r="H47" s="57"/>
      <c r="I47" s="57"/>
      <c r="J47" s="57"/>
      <c r="K47" s="1"/>
      <c r="L47" s="1"/>
      <c r="M47" s="1"/>
      <c r="N47" s="1"/>
      <c r="O47" s="1"/>
      <c r="P47" s="1"/>
    </row>
    <row r="48" ht="21.0" customHeight="1">
      <c r="A48" s="1"/>
      <c r="B48" s="53">
        <v>4.0</v>
      </c>
      <c r="C48" s="133" t="s">
        <v>56</v>
      </c>
      <c r="D48" s="57"/>
      <c r="E48" s="57">
        <v>257.0</v>
      </c>
      <c r="F48" s="57">
        <v>517.0</v>
      </c>
      <c r="G48" s="57">
        <v>281.0</v>
      </c>
      <c r="H48" s="57"/>
      <c r="I48" s="57"/>
      <c r="J48" s="57"/>
      <c r="K48" s="1"/>
      <c r="L48" s="1"/>
      <c r="M48" s="1"/>
      <c r="N48" s="1"/>
      <c r="O48" s="1"/>
      <c r="P48" s="1"/>
    </row>
    <row r="49" ht="21.0" customHeight="1">
      <c r="A49" s="1"/>
      <c r="B49" s="53">
        <v>5.0</v>
      </c>
      <c r="C49" s="127" t="s">
        <v>57</v>
      </c>
      <c r="D49" s="135"/>
      <c r="E49" s="136" t="s">
        <v>23</v>
      </c>
      <c r="F49" s="27"/>
      <c r="G49" s="56"/>
      <c r="H49" s="53"/>
      <c r="I49" s="53"/>
      <c r="J49" s="53"/>
      <c r="K49" s="1"/>
      <c r="L49" s="1"/>
      <c r="M49" s="1"/>
      <c r="N49" s="1"/>
      <c r="O49" s="1"/>
      <c r="P49" s="1"/>
    </row>
    <row r="50" ht="21.0" customHeight="1">
      <c r="A50" s="1"/>
      <c r="B50" s="53">
        <v>6.0</v>
      </c>
      <c r="C50" s="133" t="s">
        <v>58</v>
      </c>
      <c r="D50" s="57"/>
      <c r="E50" s="136" t="s">
        <v>23</v>
      </c>
      <c r="F50" s="27"/>
      <c r="G50" s="56"/>
      <c r="H50" s="57"/>
      <c r="I50" s="57"/>
      <c r="J50" s="57"/>
      <c r="K50" s="1"/>
      <c r="L50" s="1"/>
      <c r="M50" s="1"/>
      <c r="N50" s="1"/>
      <c r="O50" s="1"/>
      <c r="P50" s="1"/>
    </row>
    <row r="51" ht="21.0" customHeight="1">
      <c r="A51" s="1"/>
      <c r="B51" s="53">
        <v>7.0</v>
      </c>
      <c r="C51" s="137" t="s">
        <v>59</v>
      </c>
      <c r="D51" s="57"/>
      <c r="E51" s="136" t="s">
        <v>23</v>
      </c>
      <c r="F51" s="27"/>
      <c r="G51" s="56"/>
      <c r="H51" s="57"/>
      <c r="I51" s="57"/>
      <c r="J51" s="57"/>
      <c r="K51" s="1"/>
      <c r="L51" s="1"/>
      <c r="M51" s="1"/>
      <c r="N51" s="1"/>
      <c r="O51" s="1"/>
      <c r="P51" s="1"/>
    </row>
    <row r="52" ht="21.0" customHeight="1">
      <c r="A52" s="1"/>
      <c r="B52" s="53">
        <v>8.0</v>
      </c>
      <c r="C52" s="133" t="s">
        <v>60</v>
      </c>
      <c r="D52" s="57"/>
      <c r="E52" s="136" t="s">
        <v>23</v>
      </c>
      <c r="F52" s="27"/>
      <c r="G52" s="56"/>
      <c r="H52" s="57"/>
      <c r="I52" s="57"/>
      <c r="J52" s="57"/>
      <c r="K52" s="1"/>
      <c r="L52" s="1"/>
      <c r="M52" s="1"/>
      <c r="N52" s="1"/>
      <c r="O52" s="1"/>
      <c r="P52" s="1"/>
    </row>
    <row r="53" ht="21.0" customHeight="1">
      <c r="A53" s="1"/>
      <c r="B53" s="53">
        <v>9.0</v>
      </c>
      <c r="C53" s="133" t="s">
        <v>61</v>
      </c>
      <c r="D53" s="57"/>
      <c r="E53" s="57">
        <v>182.0</v>
      </c>
      <c r="F53" s="57">
        <v>200.0</v>
      </c>
      <c r="G53" s="57">
        <v>109.0</v>
      </c>
      <c r="H53" s="57"/>
      <c r="I53" s="57"/>
      <c r="J53" s="57"/>
      <c r="K53" s="1"/>
      <c r="L53" s="1"/>
      <c r="M53" s="1"/>
      <c r="N53" s="1"/>
      <c r="O53" s="1"/>
      <c r="P53" s="1"/>
    </row>
    <row r="54" ht="21.0" customHeight="1">
      <c r="A54" s="1"/>
      <c r="B54" s="138" t="s">
        <v>45</v>
      </c>
      <c r="C54" s="56"/>
      <c r="D54" s="139"/>
      <c r="E54" s="140">
        <f t="shared" ref="E54:G54" si="26">SUM(E45:E53)</f>
        <v>439</v>
      </c>
      <c r="F54" s="140">
        <f t="shared" si="26"/>
        <v>1531</v>
      </c>
      <c r="G54" s="140">
        <f t="shared" si="26"/>
        <v>863</v>
      </c>
      <c r="H54" s="140"/>
      <c r="I54" s="140"/>
      <c r="J54" s="140"/>
      <c r="K54" s="1"/>
      <c r="L54" s="1"/>
      <c r="M54" s="1"/>
      <c r="N54" s="1"/>
      <c r="O54" s="1"/>
      <c r="P54" s="1"/>
    </row>
    <row r="55" ht="21.0" customHeight="1">
      <c r="A55" s="1"/>
      <c r="B55" s="117" t="s">
        <v>62</v>
      </c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</row>
    <row r="56" ht="15.0" customHeight="1">
      <c r="A56" s="1"/>
      <c r="B56" s="117" t="s">
        <v>63</v>
      </c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</row>
    <row r="57" ht="13.5" customHeight="1">
      <c r="A57" s="1"/>
      <c r="B57" s="117" t="s">
        <v>64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</row>
  </sheetData>
  <mergeCells count="36">
    <mergeCell ref="N11:P13"/>
    <mergeCell ref="K12:M13"/>
    <mergeCell ref="E13:G13"/>
    <mergeCell ref="H13:J13"/>
    <mergeCell ref="H4:I4"/>
    <mergeCell ref="B10:P10"/>
    <mergeCell ref="B11:C11"/>
    <mergeCell ref="E11:M11"/>
    <mergeCell ref="B12:B14"/>
    <mergeCell ref="C12:C14"/>
    <mergeCell ref="E12:J12"/>
    <mergeCell ref="D15:F15"/>
    <mergeCell ref="D16:F16"/>
    <mergeCell ref="D20:F20"/>
    <mergeCell ref="D21:F21"/>
    <mergeCell ref="D23:F23"/>
    <mergeCell ref="D25:F25"/>
    <mergeCell ref="B40:J40"/>
    <mergeCell ref="D41:J41"/>
    <mergeCell ref="B38:C38"/>
    <mergeCell ref="B41:C41"/>
    <mergeCell ref="B42:B44"/>
    <mergeCell ref="C42:C44"/>
    <mergeCell ref="D42:D44"/>
    <mergeCell ref="E42:E44"/>
    <mergeCell ref="F42:F44"/>
    <mergeCell ref="E51:G51"/>
    <mergeCell ref="E52:G52"/>
    <mergeCell ref="B54:C54"/>
    <mergeCell ref="G42:G44"/>
    <mergeCell ref="H42:H44"/>
    <mergeCell ref="I42:I44"/>
    <mergeCell ref="J42:J44"/>
    <mergeCell ref="E47:G47"/>
    <mergeCell ref="E49:G49"/>
    <mergeCell ref="E50:G50"/>
  </mergeCells>
  <printOptions horizontalCentered="1"/>
  <pageMargins bottom="0.2018111254851229" footer="0.0" header="0.0" left="0.5213454075032341" right="0.5213454075032341" top="0.0"/>
  <pageSetup fitToHeight="0" paperSize="14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 fitToPage="1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5.63"/>
    <col customWidth="1" min="3" max="3" width="32.38"/>
    <col customWidth="1" min="4" max="4" width="9.13"/>
    <col customWidth="1" min="5" max="14" width="7.63"/>
    <col customWidth="1" min="15" max="15" width="10.38"/>
    <col customWidth="1" min="16" max="16" width="10.75"/>
  </cols>
  <sheetData>
    <row r="1" ht="13.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 t="s">
        <v>1</v>
      </c>
    </row>
    <row r="2" ht="14.25" customHeight="1">
      <c r="A2" s="1"/>
      <c r="B2" s="3" t="s">
        <v>2</v>
      </c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8.25" customHeight="1">
      <c r="A3" s="1"/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5.75" customHeight="1">
      <c r="A4" s="1"/>
      <c r="B4" s="1"/>
      <c r="C4" s="1"/>
      <c r="D4" s="1"/>
      <c r="E4" s="1"/>
      <c r="F4" s="4" t="s">
        <v>3</v>
      </c>
      <c r="G4" s="4"/>
      <c r="H4" s="141">
        <v>45717.0</v>
      </c>
      <c r="I4" s="6"/>
      <c r="J4" s="7"/>
      <c r="K4" s="7"/>
      <c r="L4" s="7"/>
      <c r="M4" s="7"/>
      <c r="N4" s="7"/>
      <c r="O4" s="7"/>
      <c r="P4" s="8"/>
    </row>
    <row r="5" ht="15.75" customHeight="1">
      <c r="A5" s="1"/>
      <c r="B5" s="1"/>
      <c r="C5" s="1"/>
      <c r="D5" s="1"/>
      <c r="E5" s="1"/>
      <c r="F5" s="4" t="s">
        <v>4</v>
      </c>
      <c r="G5" s="4"/>
      <c r="H5" s="9" t="s">
        <v>5</v>
      </c>
      <c r="I5" s="9"/>
      <c r="J5" s="9"/>
      <c r="K5" s="9"/>
      <c r="L5" s="9"/>
      <c r="M5" s="9"/>
      <c r="N5" s="9"/>
      <c r="O5" s="9"/>
      <c r="P5" s="8"/>
    </row>
    <row r="6" ht="15.75" customHeight="1">
      <c r="A6" s="1"/>
      <c r="B6" s="1"/>
      <c r="C6" s="1"/>
      <c r="D6" s="1"/>
      <c r="E6" s="1"/>
      <c r="F6" s="4" t="s">
        <v>6</v>
      </c>
      <c r="G6" s="4"/>
      <c r="H6" s="7"/>
      <c r="I6" s="7"/>
      <c r="J6" s="7"/>
      <c r="K6" s="7"/>
      <c r="L6" s="7"/>
      <c r="M6" s="7"/>
      <c r="N6" s="7"/>
      <c r="O6" s="7"/>
      <c r="P6" s="8"/>
    </row>
    <row r="7" ht="15.75" customHeight="1">
      <c r="A7" s="1"/>
      <c r="B7" s="1"/>
      <c r="C7" s="1"/>
      <c r="D7" s="10"/>
      <c r="E7" s="10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ht="15.75" customHeight="1">
      <c r="A8" s="1"/>
      <c r="B8" s="1"/>
      <c r="C8" s="1"/>
      <c r="D8" s="4"/>
      <c r="E8" s="4" t="s">
        <v>7</v>
      </c>
      <c r="F8" s="11"/>
      <c r="G8" s="8"/>
      <c r="H8" s="10"/>
      <c r="I8" s="10"/>
      <c r="J8" s="10"/>
      <c r="K8" s="10"/>
      <c r="L8" s="10"/>
      <c r="M8" s="10"/>
      <c r="N8" s="10"/>
      <c r="O8" s="10"/>
      <c r="P8" s="1"/>
    </row>
    <row r="9" ht="17.25" customHeight="1">
      <c r="A9" s="1"/>
      <c r="B9" s="1"/>
      <c r="C9" s="1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ht="17.25" customHeight="1">
      <c r="A10" s="1"/>
      <c r="B10" s="12" t="s">
        <v>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ht="16.5" customHeight="1">
      <c r="A11" s="1"/>
      <c r="B11" s="14" t="s">
        <v>9</v>
      </c>
      <c r="C11" s="15"/>
      <c r="D11" s="16"/>
      <c r="E11" s="17" t="s">
        <v>10</v>
      </c>
      <c r="F11" s="18"/>
      <c r="G11" s="18"/>
      <c r="H11" s="18"/>
      <c r="I11" s="18"/>
      <c r="J11" s="18"/>
      <c r="K11" s="18"/>
      <c r="L11" s="18"/>
      <c r="M11" s="19"/>
      <c r="N11" s="20" t="s">
        <v>11</v>
      </c>
      <c r="O11" s="21"/>
      <c r="P11" s="22"/>
    </row>
    <row r="12" ht="15.0" customHeight="1">
      <c r="A12" s="1"/>
      <c r="B12" s="23"/>
      <c r="C12" s="24" t="s">
        <v>12</v>
      </c>
      <c r="D12" s="25"/>
      <c r="E12" s="26" t="s">
        <v>13</v>
      </c>
      <c r="F12" s="27"/>
      <c r="G12" s="27"/>
      <c r="H12" s="27"/>
      <c r="I12" s="27"/>
      <c r="J12" s="27"/>
      <c r="K12" s="28" t="s">
        <v>14</v>
      </c>
      <c r="L12" s="29"/>
      <c r="M12" s="30"/>
      <c r="N12" s="31"/>
      <c r="P12" s="32"/>
    </row>
    <row r="13" ht="28.5" customHeight="1">
      <c r="A13" s="1"/>
      <c r="B13" s="33"/>
      <c r="C13" s="34"/>
      <c r="D13" s="35"/>
      <c r="E13" s="36" t="s">
        <v>15</v>
      </c>
      <c r="F13" s="37"/>
      <c r="G13" s="38"/>
      <c r="H13" s="36" t="s">
        <v>16</v>
      </c>
      <c r="I13" s="37"/>
      <c r="J13" s="38"/>
      <c r="K13" s="39"/>
      <c r="L13" s="40"/>
      <c r="M13" s="41"/>
      <c r="N13" s="42"/>
      <c r="O13" s="43"/>
      <c r="P13" s="44"/>
    </row>
    <row r="14" ht="36.75" customHeight="1">
      <c r="A14" s="1"/>
      <c r="B14" s="45"/>
      <c r="C14" s="46"/>
      <c r="D14" s="47" t="s">
        <v>17</v>
      </c>
      <c r="E14" s="48" t="s">
        <v>18</v>
      </c>
      <c r="F14" s="49" t="s">
        <v>19</v>
      </c>
      <c r="G14" s="50" t="s">
        <v>20</v>
      </c>
      <c r="H14" s="48" t="s">
        <v>18</v>
      </c>
      <c r="I14" s="51" t="s">
        <v>19</v>
      </c>
      <c r="J14" s="50" t="s">
        <v>20</v>
      </c>
      <c r="K14" s="48" t="s">
        <v>21</v>
      </c>
      <c r="L14" s="51" t="s">
        <v>19</v>
      </c>
      <c r="M14" s="52" t="s">
        <v>20</v>
      </c>
      <c r="N14" s="50" t="s">
        <v>18</v>
      </c>
      <c r="O14" s="50" t="s">
        <v>19</v>
      </c>
      <c r="P14" s="50" t="s">
        <v>20</v>
      </c>
    </row>
    <row r="15" ht="17.25" customHeight="1">
      <c r="A15" s="1"/>
      <c r="B15" s="53">
        <v>1.0</v>
      </c>
      <c r="C15" s="54" t="s">
        <v>22</v>
      </c>
      <c r="D15" s="150" t="s">
        <v>23</v>
      </c>
      <c r="E15" s="27"/>
      <c r="F15" s="56"/>
      <c r="G15" s="57">
        <f t="shared" ref="G15:G23" si="2">SUM(E15:F15)</f>
        <v>0</v>
      </c>
      <c r="H15" s="57"/>
      <c r="I15" s="57"/>
      <c r="J15" s="57">
        <f t="shared" ref="J15:J18" si="3">SUM(H15:I15)</f>
        <v>0</v>
      </c>
      <c r="K15" s="57"/>
      <c r="L15" s="58"/>
      <c r="M15" s="57">
        <f t="shared" ref="M15:M17" si="4">SUM(K15:L15)</f>
        <v>0</v>
      </c>
      <c r="N15" s="57">
        <f t="shared" ref="N15:P15" si="1">SUM(E15,H15,K15)</f>
        <v>0</v>
      </c>
      <c r="O15" s="57">
        <f t="shared" si="1"/>
        <v>0</v>
      </c>
      <c r="P15" s="57">
        <f t="shared" si="1"/>
        <v>0</v>
      </c>
    </row>
    <row r="16" ht="17.25" customHeight="1">
      <c r="A16" s="1"/>
      <c r="B16" s="60">
        <v>2.0</v>
      </c>
      <c r="C16" s="61" t="s">
        <v>24</v>
      </c>
      <c r="D16" s="55" t="s">
        <v>23</v>
      </c>
      <c r="E16" s="27"/>
      <c r="F16" s="56"/>
      <c r="G16" s="57">
        <f t="shared" si="2"/>
        <v>0</v>
      </c>
      <c r="H16" s="64"/>
      <c r="I16" s="65"/>
      <c r="J16" s="57">
        <f t="shared" si="3"/>
        <v>0</v>
      </c>
      <c r="K16" s="64"/>
      <c r="L16" s="66"/>
      <c r="M16" s="57">
        <f t="shared" si="4"/>
        <v>0</v>
      </c>
      <c r="N16" s="57">
        <f t="shared" ref="N16:P16" si="5">SUM(E16,H16,K16)</f>
        <v>0</v>
      </c>
      <c r="O16" s="57">
        <f t="shared" si="5"/>
        <v>0</v>
      </c>
      <c r="P16" s="57">
        <f t="shared" si="5"/>
        <v>0</v>
      </c>
    </row>
    <row r="17" ht="17.25" customHeight="1">
      <c r="A17" s="1"/>
      <c r="B17" s="67">
        <v>3.0</v>
      </c>
      <c r="C17" s="54" t="s">
        <v>25</v>
      </c>
      <c r="D17" s="142"/>
      <c r="E17" s="151">
        <v>33.0</v>
      </c>
      <c r="F17" s="152">
        <v>42.0</v>
      </c>
      <c r="G17" s="57">
        <f t="shared" si="2"/>
        <v>75</v>
      </c>
      <c r="H17" s="70"/>
      <c r="I17" s="57"/>
      <c r="J17" s="57">
        <f t="shared" si="3"/>
        <v>0</v>
      </c>
      <c r="K17" s="70"/>
      <c r="L17" s="58"/>
      <c r="M17" s="57">
        <f t="shared" si="4"/>
        <v>0</v>
      </c>
      <c r="N17" s="57">
        <f t="shared" ref="N17:P17" si="6">SUM(E17,H17,K17)</f>
        <v>33</v>
      </c>
      <c r="O17" s="57">
        <f t="shared" si="6"/>
        <v>42</v>
      </c>
      <c r="P17" s="57">
        <f t="shared" si="6"/>
        <v>75</v>
      </c>
    </row>
    <row r="18" ht="17.25" customHeight="1">
      <c r="A18" s="1"/>
      <c r="B18" s="67">
        <v>4.0</v>
      </c>
      <c r="C18" s="54" t="s">
        <v>26</v>
      </c>
      <c r="D18" s="71"/>
      <c r="E18" s="72">
        <v>268.0</v>
      </c>
      <c r="F18" s="71">
        <v>216.0</v>
      </c>
      <c r="G18" s="57">
        <f t="shared" si="2"/>
        <v>484</v>
      </c>
      <c r="H18" s="70"/>
      <c r="I18" s="57"/>
      <c r="J18" s="57">
        <f t="shared" si="3"/>
        <v>0</v>
      </c>
      <c r="K18" s="70"/>
      <c r="L18" s="58"/>
      <c r="M18" s="57">
        <v>0.0</v>
      </c>
      <c r="N18" s="57">
        <v>265.0</v>
      </c>
      <c r="O18" s="57">
        <v>279.0</v>
      </c>
      <c r="P18" s="57">
        <f t="shared" ref="P18:P19" si="7">SUM(G18,J18,M18)</f>
        <v>484</v>
      </c>
    </row>
    <row r="19" ht="17.25" customHeight="1">
      <c r="A19" s="1"/>
      <c r="B19" s="67">
        <v>5.0</v>
      </c>
      <c r="C19" s="73" t="s">
        <v>27</v>
      </c>
      <c r="D19" s="74"/>
      <c r="E19" s="70">
        <v>175.0</v>
      </c>
      <c r="F19" s="75">
        <v>181.0</v>
      </c>
      <c r="G19" s="57">
        <f t="shared" si="2"/>
        <v>356</v>
      </c>
      <c r="H19" s="70">
        <v>400.0</v>
      </c>
      <c r="I19" s="57">
        <v>600.0</v>
      </c>
      <c r="J19" s="57">
        <v>1000.0</v>
      </c>
      <c r="K19" s="70"/>
      <c r="L19" s="58"/>
      <c r="M19" s="57">
        <v>0.0</v>
      </c>
      <c r="N19" s="57">
        <v>575.0</v>
      </c>
      <c r="O19" s="57">
        <v>781.0</v>
      </c>
      <c r="P19" s="57">
        <f t="shared" si="7"/>
        <v>1356</v>
      </c>
    </row>
    <row r="20" ht="17.25" customHeight="1">
      <c r="A20" s="1"/>
      <c r="B20" s="67">
        <v>6.0</v>
      </c>
      <c r="C20" s="54" t="s">
        <v>28</v>
      </c>
      <c r="D20" s="55" t="s">
        <v>23</v>
      </c>
      <c r="E20" s="27"/>
      <c r="F20" s="56"/>
      <c r="G20" s="57">
        <f t="shared" si="2"/>
        <v>0</v>
      </c>
      <c r="H20" s="70"/>
      <c r="I20" s="57"/>
      <c r="J20" s="57">
        <f t="shared" ref="J20:J28" si="9">SUM(H20:I20)</f>
        <v>0</v>
      </c>
      <c r="K20" s="70"/>
      <c r="L20" s="58"/>
      <c r="M20" s="57">
        <f t="shared" ref="M20:M28" si="10">SUM(K20:L20)</f>
        <v>0</v>
      </c>
      <c r="N20" s="57">
        <f t="shared" ref="N20:P20" si="8">SUM(E20,H20,K20)</f>
        <v>0</v>
      </c>
      <c r="O20" s="57">
        <f t="shared" si="8"/>
        <v>0</v>
      </c>
      <c r="P20" s="57">
        <f t="shared" si="8"/>
        <v>0</v>
      </c>
    </row>
    <row r="21" ht="17.25" customHeight="1">
      <c r="A21" s="1"/>
      <c r="B21" s="67">
        <v>7.0</v>
      </c>
      <c r="C21" s="54" t="s">
        <v>29</v>
      </c>
      <c r="D21" s="55" t="s">
        <v>23</v>
      </c>
      <c r="E21" s="27"/>
      <c r="F21" s="56"/>
      <c r="G21" s="57">
        <f t="shared" si="2"/>
        <v>0</v>
      </c>
      <c r="H21" s="70"/>
      <c r="I21" s="57"/>
      <c r="J21" s="57">
        <f t="shared" si="9"/>
        <v>0</v>
      </c>
      <c r="K21" s="70"/>
      <c r="L21" s="58"/>
      <c r="M21" s="57">
        <f t="shared" si="10"/>
        <v>0</v>
      </c>
      <c r="N21" s="57">
        <f t="shared" ref="N21:P21" si="11">SUM(E21,H21,K21)</f>
        <v>0</v>
      </c>
      <c r="O21" s="57">
        <f t="shared" si="11"/>
        <v>0</v>
      </c>
      <c r="P21" s="57">
        <f t="shared" si="11"/>
        <v>0</v>
      </c>
    </row>
    <row r="22" ht="17.25" customHeight="1">
      <c r="A22" s="1"/>
      <c r="B22" s="67">
        <v>8.0</v>
      </c>
      <c r="C22" s="54" t="s">
        <v>30</v>
      </c>
      <c r="D22" s="74"/>
      <c r="E22" s="70">
        <v>1178.0</v>
      </c>
      <c r="F22" s="75">
        <v>1159.0</v>
      </c>
      <c r="G22" s="57">
        <f t="shared" si="2"/>
        <v>2337</v>
      </c>
      <c r="H22" s="70"/>
      <c r="I22" s="57"/>
      <c r="J22" s="57">
        <f t="shared" si="9"/>
        <v>0</v>
      </c>
      <c r="K22" s="70"/>
      <c r="L22" s="58"/>
      <c r="M22" s="57">
        <f t="shared" si="10"/>
        <v>0</v>
      </c>
      <c r="N22" s="57">
        <f t="shared" ref="N22:P22" si="12">SUM(E22,H22,K22)</f>
        <v>1178</v>
      </c>
      <c r="O22" s="57">
        <f t="shared" si="12"/>
        <v>1159</v>
      </c>
      <c r="P22" s="57">
        <f t="shared" si="12"/>
        <v>2337</v>
      </c>
    </row>
    <row r="23" ht="17.25" customHeight="1">
      <c r="A23" s="1"/>
      <c r="B23" s="67">
        <v>9.0</v>
      </c>
      <c r="C23" s="54" t="s">
        <v>31</v>
      </c>
      <c r="D23" s="55" t="s">
        <v>23</v>
      </c>
      <c r="E23" s="27"/>
      <c r="F23" s="56"/>
      <c r="G23" s="57">
        <f t="shared" si="2"/>
        <v>0</v>
      </c>
      <c r="H23" s="70"/>
      <c r="I23" s="57"/>
      <c r="J23" s="57">
        <f t="shared" si="9"/>
        <v>0</v>
      </c>
      <c r="K23" s="70"/>
      <c r="L23" s="58"/>
      <c r="M23" s="57">
        <f t="shared" si="10"/>
        <v>0</v>
      </c>
      <c r="N23" s="57">
        <f t="shared" ref="N23:P23" si="13">SUM(E23,H23,K23)</f>
        <v>0</v>
      </c>
      <c r="O23" s="57">
        <f t="shared" si="13"/>
        <v>0</v>
      </c>
      <c r="P23" s="57">
        <f t="shared" si="13"/>
        <v>0</v>
      </c>
    </row>
    <row r="24" ht="17.25" customHeight="1">
      <c r="A24" s="1"/>
      <c r="B24" s="67">
        <v>10.0</v>
      </c>
      <c r="C24" s="146" t="s">
        <v>32</v>
      </c>
      <c r="D24" s="77"/>
      <c r="E24" s="77"/>
      <c r="F24" s="77"/>
      <c r="G24" s="57">
        <v>398.0</v>
      </c>
      <c r="H24" s="70"/>
      <c r="I24" s="57"/>
      <c r="J24" s="57">
        <f t="shared" si="9"/>
        <v>0</v>
      </c>
      <c r="K24" s="70"/>
      <c r="L24" s="58"/>
      <c r="M24" s="57">
        <f t="shared" si="10"/>
        <v>0</v>
      </c>
      <c r="N24" s="57">
        <f t="shared" ref="N24:P24" si="14">SUM(E24,H24,K24)</f>
        <v>0</v>
      </c>
      <c r="O24" s="57">
        <f t="shared" si="14"/>
        <v>0</v>
      </c>
      <c r="P24" s="57">
        <f t="shared" si="14"/>
        <v>398</v>
      </c>
    </row>
    <row r="25" ht="17.25" customHeight="1">
      <c r="A25" s="1"/>
      <c r="B25" s="67">
        <v>11.0</v>
      </c>
      <c r="C25" s="54" t="s">
        <v>65</v>
      </c>
      <c r="D25" s="77"/>
      <c r="E25" s="77">
        <v>42.0</v>
      </c>
      <c r="F25" s="77">
        <v>41.0</v>
      </c>
      <c r="G25" s="57">
        <f t="shared" ref="G25:G28" si="16">SUM(E25:F25)</f>
        <v>83</v>
      </c>
      <c r="H25" s="70"/>
      <c r="I25" s="57"/>
      <c r="J25" s="57">
        <f t="shared" si="9"/>
        <v>0</v>
      </c>
      <c r="K25" s="70"/>
      <c r="L25" s="58"/>
      <c r="M25" s="57">
        <f t="shared" si="10"/>
        <v>0</v>
      </c>
      <c r="N25" s="57">
        <f t="shared" ref="N25:P25" si="15">SUM(E25,H25,K25)</f>
        <v>42</v>
      </c>
      <c r="O25" s="57">
        <f t="shared" si="15"/>
        <v>41</v>
      </c>
      <c r="P25" s="57">
        <f t="shared" si="15"/>
        <v>83</v>
      </c>
    </row>
    <row r="26" ht="17.25" customHeight="1">
      <c r="A26" s="1"/>
      <c r="B26" s="67">
        <v>12.0</v>
      </c>
      <c r="C26" s="54" t="s">
        <v>66</v>
      </c>
      <c r="D26" s="71"/>
      <c r="E26" s="70">
        <v>629.0</v>
      </c>
      <c r="F26" s="75">
        <v>485.0</v>
      </c>
      <c r="G26" s="57">
        <f t="shared" si="16"/>
        <v>1114</v>
      </c>
      <c r="H26" s="70"/>
      <c r="I26" s="57"/>
      <c r="J26" s="57">
        <f t="shared" si="9"/>
        <v>0</v>
      </c>
      <c r="K26" s="70"/>
      <c r="L26" s="58"/>
      <c r="M26" s="57">
        <f t="shared" si="10"/>
        <v>0</v>
      </c>
      <c r="N26" s="57">
        <f t="shared" ref="N26:P26" si="17">SUM(E26,H26,K26)</f>
        <v>629</v>
      </c>
      <c r="O26" s="57">
        <f t="shared" si="17"/>
        <v>485</v>
      </c>
      <c r="P26" s="57">
        <f t="shared" si="17"/>
        <v>1114</v>
      </c>
    </row>
    <row r="27" ht="17.25" customHeight="1">
      <c r="A27" s="1"/>
      <c r="B27" s="67">
        <v>13.0</v>
      </c>
      <c r="C27" s="54" t="s">
        <v>35</v>
      </c>
      <c r="D27" s="74"/>
      <c r="E27" s="70">
        <v>430.0</v>
      </c>
      <c r="F27" s="57">
        <v>482.0</v>
      </c>
      <c r="G27" s="57">
        <f t="shared" si="16"/>
        <v>912</v>
      </c>
      <c r="H27" s="70"/>
      <c r="I27" s="57"/>
      <c r="J27" s="57">
        <f t="shared" si="9"/>
        <v>0</v>
      </c>
      <c r="K27" s="70"/>
      <c r="L27" s="58"/>
      <c r="M27" s="57">
        <f t="shared" si="10"/>
        <v>0</v>
      </c>
      <c r="N27" s="57">
        <f t="shared" ref="N27:P27" si="18">SUM(E27,H27,K27)</f>
        <v>430</v>
      </c>
      <c r="O27" s="57">
        <f t="shared" si="18"/>
        <v>482</v>
      </c>
      <c r="P27" s="57">
        <f t="shared" si="18"/>
        <v>912</v>
      </c>
    </row>
    <row r="28" ht="17.25" customHeight="1">
      <c r="A28" s="1"/>
      <c r="B28" s="67">
        <v>14.0</v>
      </c>
      <c r="C28" s="54" t="s">
        <v>36</v>
      </c>
      <c r="D28" s="75"/>
      <c r="E28" s="70">
        <v>66.0</v>
      </c>
      <c r="F28" s="57">
        <v>55.0</v>
      </c>
      <c r="G28" s="57">
        <f t="shared" si="16"/>
        <v>121</v>
      </c>
      <c r="H28" s="70"/>
      <c r="I28" s="57"/>
      <c r="J28" s="57">
        <f t="shared" si="9"/>
        <v>0</v>
      </c>
      <c r="K28" s="70"/>
      <c r="L28" s="58"/>
      <c r="M28" s="57">
        <f t="shared" si="10"/>
        <v>0</v>
      </c>
      <c r="N28" s="57">
        <f t="shared" ref="N28:P28" si="19">SUM(E28,H28,K28)</f>
        <v>66</v>
      </c>
      <c r="O28" s="57">
        <f t="shared" si="19"/>
        <v>55</v>
      </c>
      <c r="P28" s="57">
        <f t="shared" si="19"/>
        <v>121</v>
      </c>
    </row>
    <row r="29" ht="17.25" customHeight="1">
      <c r="A29" s="1"/>
      <c r="B29" s="67"/>
      <c r="C29" s="54"/>
      <c r="D29" s="75"/>
      <c r="E29" s="70"/>
      <c r="F29" s="57"/>
      <c r="G29" s="82"/>
      <c r="H29" s="70"/>
      <c r="I29" s="57"/>
      <c r="J29" s="82"/>
      <c r="K29" s="70"/>
      <c r="L29" s="53"/>
      <c r="M29" s="57"/>
      <c r="N29" s="57"/>
      <c r="O29" s="57"/>
      <c r="P29" s="57"/>
    </row>
    <row r="30" ht="17.25" customHeight="1">
      <c r="A30" s="1"/>
      <c r="B30" s="83"/>
      <c r="C30" s="84" t="s">
        <v>37</v>
      </c>
      <c r="D30" s="85"/>
      <c r="E30" s="86"/>
      <c r="F30" s="87"/>
      <c r="G30" s="88"/>
      <c r="H30" s="86"/>
      <c r="I30" s="87"/>
      <c r="J30" s="88"/>
      <c r="K30" s="86"/>
      <c r="L30" s="89"/>
      <c r="M30" s="87"/>
      <c r="N30" s="87"/>
      <c r="O30" s="87"/>
      <c r="P30" s="87"/>
    </row>
    <row r="31" ht="17.25" customHeight="1">
      <c r="A31" s="1"/>
      <c r="B31" s="67">
        <v>1.0</v>
      </c>
      <c r="C31" s="90" t="s">
        <v>38</v>
      </c>
      <c r="D31" s="75"/>
      <c r="E31" s="70">
        <v>352.0</v>
      </c>
      <c r="F31" s="57">
        <v>245.0</v>
      </c>
      <c r="G31" s="91">
        <v>597.0</v>
      </c>
      <c r="H31" s="80"/>
      <c r="I31" s="57"/>
      <c r="J31" s="91">
        <f t="shared" ref="J31:J35" si="21">SUM(H31:I31)</f>
        <v>0</v>
      </c>
      <c r="K31" s="80"/>
      <c r="L31" s="53"/>
      <c r="M31" s="57">
        <f t="shared" ref="M31:M35" si="22">SUM(K31:L31)</f>
        <v>0</v>
      </c>
      <c r="N31" s="91">
        <f t="shared" ref="N31:P31" si="20">SUM(E31,H31,K31)</f>
        <v>352</v>
      </c>
      <c r="O31" s="57">
        <f t="shared" si="20"/>
        <v>245</v>
      </c>
      <c r="P31" s="57">
        <f t="shared" si="20"/>
        <v>597</v>
      </c>
    </row>
    <row r="32" ht="17.25" customHeight="1">
      <c r="A32" s="1"/>
      <c r="B32" s="67">
        <v>2.0</v>
      </c>
      <c r="C32" s="92" t="s">
        <v>39</v>
      </c>
      <c r="D32" s="93"/>
      <c r="E32" s="94"/>
      <c r="F32" s="95"/>
      <c r="G32" s="95">
        <v>19507.0</v>
      </c>
      <c r="H32" s="97"/>
      <c r="I32" s="98"/>
      <c r="J32" s="98">
        <f t="shared" si="21"/>
        <v>0</v>
      </c>
      <c r="K32" s="97"/>
      <c r="L32" s="99"/>
      <c r="M32" s="153">
        <f t="shared" si="22"/>
        <v>0</v>
      </c>
      <c r="N32" s="95">
        <f t="shared" ref="N32:P32" si="23">SUM(E32,H32,K32)</f>
        <v>0</v>
      </c>
      <c r="O32" s="95">
        <f t="shared" si="23"/>
        <v>0</v>
      </c>
      <c r="P32" s="95">
        <f t="shared" si="23"/>
        <v>19507</v>
      </c>
    </row>
    <row r="33" ht="17.25" customHeight="1">
      <c r="A33" s="1"/>
      <c r="B33" s="67">
        <v>3.0</v>
      </c>
      <c r="C33" s="101" t="s">
        <v>40</v>
      </c>
      <c r="D33" s="75"/>
      <c r="E33" s="102"/>
      <c r="F33" s="103"/>
      <c r="G33" s="103">
        <v>31976.0</v>
      </c>
      <c r="H33" s="80"/>
      <c r="I33" s="57"/>
      <c r="J33" s="82">
        <f t="shared" si="21"/>
        <v>0</v>
      </c>
      <c r="K33" s="70"/>
      <c r="L33" s="53"/>
      <c r="M33" s="57">
        <f t="shared" si="22"/>
        <v>0</v>
      </c>
      <c r="N33" s="103">
        <f t="shared" ref="N33:P33" si="24">SUM(E33,H33,K33)</f>
        <v>0</v>
      </c>
      <c r="O33" s="103">
        <f t="shared" si="24"/>
        <v>0</v>
      </c>
      <c r="P33" s="103">
        <f t="shared" si="24"/>
        <v>31976</v>
      </c>
    </row>
    <row r="34" ht="17.25" customHeight="1">
      <c r="A34" s="1"/>
      <c r="B34" s="67">
        <v>4.0</v>
      </c>
      <c r="C34" s="106" t="s">
        <v>41</v>
      </c>
      <c r="D34" s="75"/>
      <c r="E34" s="102"/>
      <c r="F34" s="103"/>
      <c r="G34" s="103">
        <v>22764.0</v>
      </c>
      <c r="H34" s="80"/>
      <c r="I34" s="57"/>
      <c r="J34" s="82">
        <f t="shared" si="21"/>
        <v>0</v>
      </c>
      <c r="K34" s="70"/>
      <c r="L34" s="53"/>
      <c r="M34" s="57">
        <f t="shared" si="22"/>
        <v>0</v>
      </c>
      <c r="N34" s="103">
        <f t="shared" ref="N34:P34" si="25">SUM(E34,H34,K34)</f>
        <v>0</v>
      </c>
      <c r="O34" s="103">
        <f t="shared" si="25"/>
        <v>0</v>
      </c>
      <c r="P34" s="103">
        <f t="shared" si="25"/>
        <v>22764</v>
      </c>
    </row>
    <row r="35" ht="17.25" customHeight="1">
      <c r="A35" s="1"/>
      <c r="B35" s="67">
        <v>5.0</v>
      </c>
      <c r="C35" s="106" t="s">
        <v>42</v>
      </c>
      <c r="D35" s="75"/>
      <c r="E35" s="70">
        <v>143.0</v>
      </c>
      <c r="F35" s="57">
        <v>110.0</v>
      </c>
      <c r="G35" s="57">
        <f>SUM(E35:F35)</f>
        <v>253</v>
      </c>
      <c r="H35" s="80"/>
      <c r="I35" s="57"/>
      <c r="J35" s="82">
        <f t="shared" si="21"/>
        <v>0</v>
      </c>
      <c r="K35" s="70"/>
      <c r="L35" s="53"/>
      <c r="M35" s="57">
        <f t="shared" si="22"/>
        <v>0</v>
      </c>
      <c r="N35" s="57">
        <f t="shared" ref="N35:P35" si="26">SUM(E35,H35,K35)</f>
        <v>143</v>
      </c>
      <c r="O35" s="57">
        <f t="shared" si="26"/>
        <v>110</v>
      </c>
      <c r="P35" s="57">
        <f t="shared" si="26"/>
        <v>253</v>
      </c>
    </row>
    <row r="36" ht="17.25" customHeight="1">
      <c r="A36" s="1"/>
      <c r="B36" s="67">
        <v>6.0</v>
      </c>
      <c r="C36" s="106" t="s">
        <v>71</v>
      </c>
      <c r="D36" s="75"/>
      <c r="E36" s="70"/>
      <c r="F36" s="57"/>
      <c r="G36" s="154">
        <v>3430.0</v>
      </c>
      <c r="H36" s="80"/>
      <c r="I36" s="57"/>
      <c r="J36" s="82"/>
      <c r="K36" s="70"/>
      <c r="L36" s="53"/>
      <c r="M36" s="57"/>
      <c r="N36" s="91"/>
      <c r="O36" s="57"/>
      <c r="P36" s="103">
        <f>SUM(G36,J36,M36)</f>
        <v>3430</v>
      </c>
    </row>
    <row r="37" ht="17.25" customHeight="1">
      <c r="A37" s="1"/>
      <c r="B37" s="67"/>
      <c r="C37" s="106" t="s">
        <v>44</v>
      </c>
      <c r="D37" s="75"/>
      <c r="E37" s="70"/>
      <c r="F37" s="57"/>
      <c r="G37" s="109">
        <f>SUM(E37:F37)</f>
        <v>0</v>
      </c>
      <c r="H37" s="70"/>
      <c r="I37" s="57"/>
      <c r="J37" s="110">
        <f>SUM(H37:I37)</f>
        <v>0</v>
      </c>
      <c r="K37" s="70"/>
      <c r="L37" s="53"/>
      <c r="M37" s="59">
        <f>SUM(K37:L37)</f>
        <v>0</v>
      </c>
      <c r="N37" s="111">
        <f t="shared" ref="N37:P37" si="27">SUM(E37,H37,K37)</f>
        <v>0</v>
      </c>
      <c r="O37" s="59">
        <f t="shared" si="27"/>
        <v>0</v>
      </c>
      <c r="P37" s="57">
        <f t="shared" si="27"/>
        <v>0</v>
      </c>
    </row>
    <row r="38" ht="24.0" customHeight="1">
      <c r="A38" s="1"/>
      <c r="B38" s="112" t="s">
        <v>45</v>
      </c>
      <c r="C38" s="113"/>
      <c r="D38" s="114"/>
      <c r="E38" s="115">
        <f t="shared" ref="E38:P38" si="28">SUM(E15:E37)</f>
        <v>3316</v>
      </c>
      <c r="F38" s="116">
        <f t="shared" si="28"/>
        <v>3016</v>
      </c>
      <c r="G38" s="115">
        <f t="shared" si="28"/>
        <v>84407</v>
      </c>
      <c r="H38" s="115">
        <f t="shared" si="28"/>
        <v>400</v>
      </c>
      <c r="I38" s="115">
        <f t="shared" si="28"/>
        <v>600</v>
      </c>
      <c r="J38" s="115">
        <f t="shared" si="28"/>
        <v>1000</v>
      </c>
      <c r="K38" s="115">
        <f t="shared" si="28"/>
        <v>0</v>
      </c>
      <c r="L38" s="115">
        <f t="shared" si="28"/>
        <v>0</v>
      </c>
      <c r="M38" s="115">
        <f t="shared" si="28"/>
        <v>0</v>
      </c>
      <c r="N38" s="115">
        <f t="shared" si="28"/>
        <v>3713</v>
      </c>
      <c r="O38" s="115">
        <f t="shared" si="28"/>
        <v>3679</v>
      </c>
      <c r="P38" s="115">
        <f t="shared" si="28"/>
        <v>85407</v>
      </c>
    </row>
    <row r="39" ht="15.75" customHeight="1">
      <c r="A39" s="1"/>
      <c r="B39" s="117" t="s">
        <v>46</v>
      </c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</row>
    <row r="40" ht="21.0" customHeight="1">
      <c r="A40" s="1"/>
      <c r="B40" s="118" t="s">
        <v>47</v>
      </c>
      <c r="C40" s="27"/>
      <c r="D40" s="27"/>
      <c r="E40" s="27"/>
      <c r="F40" s="27"/>
      <c r="G40" s="27"/>
      <c r="H40" s="27"/>
      <c r="I40" s="27"/>
      <c r="J40" s="56"/>
      <c r="K40" s="119"/>
      <c r="L40" s="119"/>
      <c r="M40" s="119"/>
      <c r="N40" s="119"/>
      <c r="O40" s="119"/>
      <c r="P40" s="119"/>
    </row>
    <row r="41" ht="21.0" customHeight="1">
      <c r="A41" s="1"/>
      <c r="B41" s="120" t="s">
        <v>9</v>
      </c>
      <c r="C41" s="56"/>
      <c r="D41" s="121">
        <v>45717.0</v>
      </c>
      <c r="E41" s="27"/>
      <c r="F41" s="27"/>
      <c r="G41" s="27"/>
      <c r="H41" s="27"/>
      <c r="I41" s="27"/>
      <c r="J41" s="56"/>
      <c r="K41" s="1"/>
      <c r="L41" s="1"/>
      <c r="M41" s="1"/>
      <c r="N41" s="1"/>
      <c r="O41" s="1"/>
      <c r="P41" s="1"/>
    </row>
    <row r="42" ht="21.0" customHeight="1">
      <c r="A42" s="1"/>
      <c r="B42" s="122"/>
      <c r="C42" s="123" t="s">
        <v>12</v>
      </c>
      <c r="D42" s="124" t="s">
        <v>17</v>
      </c>
      <c r="E42" s="125" t="s">
        <v>72</v>
      </c>
      <c r="F42" s="125" t="s">
        <v>73</v>
      </c>
      <c r="G42" s="125" t="s">
        <v>74</v>
      </c>
      <c r="H42" s="126" t="s">
        <v>51</v>
      </c>
      <c r="I42" s="126" t="s">
        <v>52</v>
      </c>
      <c r="J42" s="126" t="s">
        <v>53</v>
      </c>
      <c r="K42" s="1"/>
      <c r="L42" s="1"/>
      <c r="M42" s="1"/>
      <c r="N42" s="1"/>
      <c r="O42" s="1"/>
      <c r="P42" s="1"/>
    </row>
    <row r="43" ht="26.25" customHeight="1">
      <c r="A43" s="1"/>
      <c r="B43" s="34"/>
      <c r="C43" s="34"/>
      <c r="D43" s="34"/>
      <c r="E43" s="34"/>
      <c r="F43" s="34"/>
      <c r="G43" s="34"/>
      <c r="H43" s="34"/>
      <c r="I43" s="34"/>
      <c r="J43" s="34"/>
      <c r="K43" s="1"/>
      <c r="L43" s="1"/>
      <c r="M43" s="1"/>
      <c r="N43" s="1"/>
      <c r="O43" s="1"/>
      <c r="P43" s="1"/>
    </row>
    <row r="44" ht="47.25" customHeight="1">
      <c r="A44" s="1"/>
      <c r="B44" s="46"/>
      <c r="C44" s="46"/>
      <c r="D44" s="46"/>
      <c r="E44" s="46"/>
      <c r="F44" s="46"/>
      <c r="G44" s="46"/>
      <c r="H44" s="46"/>
      <c r="I44" s="46"/>
      <c r="J44" s="46"/>
      <c r="K44" s="1"/>
      <c r="L44" s="1"/>
      <c r="M44" s="1"/>
      <c r="N44" s="1"/>
      <c r="O44" s="1"/>
      <c r="P44" s="1"/>
    </row>
    <row r="45" ht="21.0" customHeight="1">
      <c r="A45" s="1"/>
      <c r="B45" s="53">
        <v>1.0</v>
      </c>
      <c r="C45" s="127" t="s">
        <v>54</v>
      </c>
      <c r="D45" s="57"/>
      <c r="E45" s="57"/>
      <c r="F45" s="57">
        <v>842.0</v>
      </c>
      <c r="G45" s="57">
        <v>421.0</v>
      </c>
      <c r="H45" s="57"/>
      <c r="I45" s="57"/>
      <c r="J45" s="57"/>
      <c r="K45" s="1"/>
      <c r="L45" s="1"/>
      <c r="M45" s="1"/>
      <c r="N45" s="1"/>
      <c r="O45" s="1"/>
      <c r="P45" s="1"/>
    </row>
    <row r="46" ht="27.0" customHeight="1">
      <c r="A46" s="128"/>
      <c r="B46" s="129">
        <v>2.0</v>
      </c>
      <c r="C46" s="73" t="s">
        <v>27</v>
      </c>
      <c r="D46" s="130"/>
      <c r="E46" s="131">
        <v>116.0</v>
      </c>
      <c r="F46" s="131">
        <v>317.0</v>
      </c>
      <c r="G46" s="131">
        <v>184.0</v>
      </c>
      <c r="H46" s="131"/>
      <c r="I46" s="131"/>
      <c r="J46" s="131"/>
      <c r="K46" s="132"/>
      <c r="L46" s="132"/>
      <c r="M46" s="132"/>
      <c r="N46" s="132"/>
      <c r="O46" s="132"/>
      <c r="P46" s="132"/>
    </row>
    <row r="47" ht="21.0" customHeight="1">
      <c r="A47" s="1"/>
      <c r="B47" s="53">
        <v>3.0</v>
      </c>
      <c r="C47" s="133" t="s">
        <v>55</v>
      </c>
      <c r="D47" s="57"/>
      <c r="E47" s="134">
        <v>101.0</v>
      </c>
      <c r="F47" s="53">
        <v>101.0</v>
      </c>
      <c r="G47" s="53">
        <v>40.0</v>
      </c>
      <c r="H47" s="57"/>
      <c r="I47" s="57"/>
      <c r="J47" s="57"/>
      <c r="K47" s="1"/>
      <c r="L47" s="1"/>
      <c r="M47" s="1"/>
      <c r="N47" s="1"/>
      <c r="O47" s="1"/>
      <c r="P47" s="1"/>
    </row>
    <row r="48" ht="21.0" customHeight="1">
      <c r="A48" s="1"/>
      <c r="B48" s="53">
        <v>4.0</v>
      </c>
      <c r="C48" s="133" t="s">
        <v>56</v>
      </c>
      <c r="D48" s="57"/>
      <c r="E48" s="57">
        <v>400.0</v>
      </c>
      <c r="F48" s="57">
        <v>451.0</v>
      </c>
      <c r="G48" s="57">
        <v>345.0</v>
      </c>
      <c r="H48" s="57"/>
      <c r="I48" s="57"/>
      <c r="J48" s="57"/>
      <c r="K48" s="1"/>
      <c r="L48" s="1"/>
      <c r="M48" s="1"/>
      <c r="N48" s="1"/>
      <c r="O48" s="1"/>
      <c r="P48" s="1"/>
    </row>
    <row r="49" ht="21.0" customHeight="1">
      <c r="A49" s="1"/>
      <c r="B49" s="53">
        <v>5.0</v>
      </c>
      <c r="C49" s="127" t="s">
        <v>57</v>
      </c>
      <c r="D49" s="135"/>
      <c r="E49" s="53">
        <v>126.0</v>
      </c>
      <c r="F49" s="53">
        <v>126.0</v>
      </c>
      <c r="G49" s="53">
        <v>41.0</v>
      </c>
      <c r="H49" s="53"/>
      <c r="I49" s="53"/>
      <c r="J49" s="53"/>
      <c r="K49" s="1"/>
      <c r="L49" s="1"/>
      <c r="M49" s="1"/>
      <c r="N49" s="1"/>
      <c r="O49" s="1"/>
      <c r="P49" s="1"/>
    </row>
    <row r="50" ht="21.0" customHeight="1">
      <c r="A50" s="1"/>
      <c r="B50" s="53">
        <v>6.0</v>
      </c>
      <c r="C50" s="133" t="s">
        <v>58</v>
      </c>
      <c r="D50" s="57"/>
      <c r="E50" s="136" t="s">
        <v>23</v>
      </c>
      <c r="F50" s="27"/>
      <c r="G50" s="56"/>
      <c r="H50" s="57"/>
      <c r="I50" s="57"/>
      <c r="J50" s="57"/>
      <c r="K50" s="1"/>
      <c r="L50" s="1"/>
      <c r="M50" s="1"/>
      <c r="N50" s="1"/>
      <c r="O50" s="1"/>
      <c r="P50" s="1"/>
    </row>
    <row r="51" ht="21.0" customHeight="1">
      <c r="A51" s="1"/>
      <c r="B51" s="53">
        <v>7.0</v>
      </c>
      <c r="C51" s="137" t="s">
        <v>59</v>
      </c>
      <c r="D51" s="57"/>
      <c r="E51" s="136" t="s">
        <v>23</v>
      </c>
      <c r="F51" s="27"/>
      <c r="G51" s="56"/>
      <c r="H51" s="57"/>
      <c r="I51" s="57"/>
      <c r="J51" s="57"/>
      <c r="K51" s="1"/>
      <c r="L51" s="1"/>
      <c r="M51" s="1"/>
      <c r="N51" s="1"/>
      <c r="O51" s="1"/>
      <c r="P51" s="1"/>
    </row>
    <row r="52" ht="21.0" customHeight="1">
      <c r="A52" s="1"/>
      <c r="B52" s="53">
        <v>8.0</v>
      </c>
      <c r="C52" s="133" t="s">
        <v>60</v>
      </c>
      <c r="D52" s="57"/>
      <c r="E52" s="57">
        <v>18.0</v>
      </c>
      <c r="F52" s="57">
        <v>18.0</v>
      </c>
      <c r="G52" s="57">
        <v>9.0</v>
      </c>
      <c r="H52" s="57"/>
      <c r="I52" s="57"/>
      <c r="J52" s="57"/>
      <c r="K52" s="1"/>
      <c r="L52" s="1"/>
      <c r="M52" s="1"/>
      <c r="N52" s="1"/>
      <c r="O52" s="1"/>
      <c r="P52" s="1"/>
    </row>
    <row r="53" ht="21.0" customHeight="1">
      <c r="A53" s="1"/>
      <c r="B53" s="53">
        <v>9.0</v>
      </c>
      <c r="C53" s="133" t="s">
        <v>61</v>
      </c>
      <c r="D53" s="57"/>
      <c r="E53" s="57">
        <v>105.0</v>
      </c>
      <c r="F53" s="57">
        <v>207.0</v>
      </c>
      <c r="G53" s="57">
        <v>110.0</v>
      </c>
      <c r="H53" s="57"/>
      <c r="I53" s="57"/>
      <c r="J53" s="57"/>
      <c r="K53" s="1"/>
      <c r="L53" s="1"/>
      <c r="M53" s="1"/>
      <c r="N53" s="1"/>
      <c r="O53" s="1"/>
      <c r="P53" s="1"/>
    </row>
    <row r="54" ht="21.0" customHeight="1">
      <c r="A54" s="1"/>
      <c r="B54" s="138" t="s">
        <v>45</v>
      </c>
      <c r="C54" s="56"/>
      <c r="D54" s="139"/>
      <c r="E54" s="140">
        <f t="shared" ref="E54:G54" si="29">SUM(E45:E53)</f>
        <v>866</v>
      </c>
      <c r="F54" s="140">
        <f t="shared" si="29"/>
        <v>2062</v>
      </c>
      <c r="G54" s="140">
        <f t="shared" si="29"/>
        <v>1150</v>
      </c>
      <c r="H54" s="140"/>
      <c r="I54" s="140"/>
      <c r="J54" s="140"/>
      <c r="K54" s="1"/>
      <c r="L54" s="1"/>
      <c r="M54" s="1"/>
      <c r="N54" s="1"/>
      <c r="O54" s="1"/>
      <c r="P54" s="1"/>
    </row>
    <row r="55" ht="21.0" customHeight="1">
      <c r="A55" s="1"/>
      <c r="B55" s="117" t="s">
        <v>62</v>
      </c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</row>
    <row r="56" ht="15.0" customHeight="1">
      <c r="A56" s="1"/>
      <c r="B56" s="117" t="s">
        <v>63</v>
      </c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</row>
    <row r="57" ht="13.5" customHeight="1">
      <c r="A57" s="1"/>
      <c r="B57" s="117" t="s">
        <v>64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</row>
  </sheetData>
  <mergeCells count="32">
    <mergeCell ref="N11:P13"/>
    <mergeCell ref="K12:M13"/>
    <mergeCell ref="E13:G13"/>
    <mergeCell ref="H13:J13"/>
    <mergeCell ref="H4:I4"/>
    <mergeCell ref="B10:P10"/>
    <mergeCell ref="B11:C11"/>
    <mergeCell ref="E11:M11"/>
    <mergeCell ref="B12:B14"/>
    <mergeCell ref="C12:C14"/>
    <mergeCell ref="E12:J12"/>
    <mergeCell ref="D15:F15"/>
    <mergeCell ref="D16:F16"/>
    <mergeCell ref="D20:F20"/>
    <mergeCell ref="D21:F21"/>
    <mergeCell ref="D23:F23"/>
    <mergeCell ref="B38:C38"/>
    <mergeCell ref="B40:J40"/>
    <mergeCell ref="G42:G44"/>
    <mergeCell ref="H42:H44"/>
    <mergeCell ref="E50:G50"/>
    <mergeCell ref="E51:G51"/>
    <mergeCell ref="B54:C54"/>
    <mergeCell ref="I42:I44"/>
    <mergeCell ref="J42:J44"/>
    <mergeCell ref="B41:C41"/>
    <mergeCell ref="D41:J41"/>
    <mergeCell ref="B42:B44"/>
    <mergeCell ref="C42:C44"/>
    <mergeCell ref="D42:D44"/>
    <mergeCell ref="E42:E44"/>
    <mergeCell ref="F42:F44"/>
  </mergeCells>
  <printOptions horizontalCentered="1"/>
  <pageMargins bottom="0.75" footer="0.0" header="0.0" left="0.25" right="0.25" top="0.75"/>
  <pageSetup fitToHeight="0" paperSize="14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 fitToPage="1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5.63"/>
    <col customWidth="1" min="3" max="3" width="32.38"/>
    <col customWidth="1" min="4" max="4" width="9.13"/>
    <col customWidth="1" min="5" max="14" width="7.63"/>
    <col customWidth="1" min="15" max="15" width="10.38"/>
    <col customWidth="1" min="16" max="16" width="10.75"/>
  </cols>
  <sheetData>
    <row r="1" ht="13.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 t="s">
        <v>1</v>
      </c>
    </row>
    <row r="2" ht="14.25" customHeight="1">
      <c r="A2" s="1"/>
      <c r="B2" s="3" t="s">
        <v>2</v>
      </c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8.25" customHeight="1">
      <c r="A3" s="1"/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5.75" customHeight="1">
      <c r="A4" s="1"/>
      <c r="B4" s="1"/>
      <c r="C4" s="1"/>
      <c r="D4" s="1"/>
      <c r="E4" s="1"/>
      <c r="F4" s="4" t="s">
        <v>3</v>
      </c>
      <c r="G4" s="4"/>
      <c r="H4" s="141">
        <v>45748.0</v>
      </c>
      <c r="I4" s="6"/>
      <c r="J4" s="7"/>
      <c r="K4" s="7"/>
      <c r="L4" s="7"/>
      <c r="M4" s="7"/>
      <c r="N4" s="7"/>
      <c r="O4" s="7"/>
      <c r="P4" s="8"/>
    </row>
    <row r="5" ht="15.75" customHeight="1">
      <c r="A5" s="1"/>
      <c r="B5" s="1"/>
      <c r="C5" s="1"/>
      <c r="D5" s="1"/>
      <c r="E5" s="1"/>
      <c r="F5" s="4" t="s">
        <v>4</v>
      </c>
      <c r="G5" s="4"/>
      <c r="H5" s="9" t="s">
        <v>5</v>
      </c>
      <c r="I5" s="9"/>
      <c r="J5" s="9"/>
      <c r="K5" s="9"/>
      <c r="L5" s="9"/>
      <c r="M5" s="9"/>
      <c r="N5" s="9"/>
      <c r="O5" s="9"/>
      <c r="P5" s="8"/>
    </row>
    <row r="6" ht="15.75" customHeight="1">
      <c r="A6" s="1"/>
      <c r="B6" s="1"/>
      <c r="C6" s="1"/>
      <c r="D6" s="1"/>
      <c r="E6" s="1"/>
      <c r="F6" s="4" t="s">
        <v>6</v>
      </c>
      <c r="G6" s="4"/>
      <c r="H6" s="7"/>
      <c r="I6" s="7"/>
      <c r="J6" s="7"/>
      <c r="K6" s="7"/>
      <c r="L6" s="7"/>
      <c r="M6" s="7"/>
      <c r="N6" s="7"/>
      <c r="O6" s="7"/>
      <c r="P6" s="8"/>
    </row>
    <row r="7" ht="15.75" customHeight="1">
      <c r="A7" s="1"/>
      <c r="B7" s="1"/>
      <c r="C7" s="1"/>
      <c r="D7" s="10"/>
      <c r="E7" s="10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ht="15.75" customHeight="1">
      <c r="A8" s="1"/>
      <c r="B8" s="1"/>
      <c r="C8" s="1"/>
      <c r="D8" s="4"/>
      <c r="E8" s="4" t="s">
        <v>7</v>
      </c>
      <c r="F8" s="11"/>
      <c r="G8" s="8"/>
      <c r="H8" s="10"/>
      <c r="I8" s="10"/>
      <c r="J8" s="10"/>
      <c r="K8" s="10"/>
      <c r="L8" s="10"/>
      <c r="M8" s="10"/>
      <c r="N8" s="10"/>
      <c r="O8" s="10"/>
      <c r="P8" s="1"/>
    </row>
    <row r="9" ht="17.25" customHeight="1">
      <c r="A9" s="1"/>
      <c r="B9" s="1"/>
      <c r="C9" s="1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ht="17.25" customHeight="1">
      <c r="A10" s="1"/>
      <c r="B10" s="12" t="s">
        <v>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ht="16.5" customHeight="1">
      <c r="A11" s="1"/>
      <c r="B11" s="14" t="s">
        <v>9</v>
      </c>
      <c r="C11" s="15"/>
      <c r="D11" s="16"/>
      <c r="E11" s="17" t="s">
        <v>10</v>
      </c>
      <c r="F11" s="18"/>
      <c r="G11" s="18"/>
      <c r="H11" s="18"/>
      <c r="I11" s="18"/>
      <c r="J11" s="18"/>
      <c r="K11" s="18"/>
      <c r="L11" s="18"/>
      <c r="M11" s="19"/>
      <c r="N11" s="20" t="s">
        <v>11</v>
      </c>
      <c r="O11" s="21"/>
      <c r="P11" s="22"/>
    </row>
    <row r="12" ht="15.0" customHeight="1">
      <c r="A12" s="1"/>
      <c r="B12" s="23"/>
      <c r="C12" s="24" t="s">
        <v>12</v>
      </c>
      <c r="D12" s="25"/>
      <c r="E12" s="26" t="s">
        <v>13</v>
      </c>
      <c r="F12" s="27"/>
      <c r="G12" s="27"/>
      <c r="H12" s="27"/>
      <c r="I12" s="27"/>
      <c r="J12" s="27"/>
      <c r="K12" s="28" t="s">
        <v>14</v>
      </c>
      <c r="L12" s="29"/>
      <c r="M12" s="30"/>
      <c r="N12" s="31"/>
      <c r="P12" s="32"/>
    </row>
    <row r="13" ht="28.5" customHeight="1">
      <c r="A13" s="1"/>
      <c r="B13" s="33"/>
      <c r="C13" s="34"/>
      <c r="D13" s="35"/>
      <c r="E13" s="35"/>
      <c r="F13" s="155"/>
      <c r="G13" s="156"/>
      <c r="H13" s="36" t="s">
        <v>16</v>
      </c>
      <c r="I13" s="37"/>
      <c r="J13" s="38"/>
      <c r="K13" s="39"/>
      <c r="L13" s="40"/>
      <c r="M13" s="41"/>
      <c r="N13" s="42"/>
      <c r="O13" s="43"/>
      <c r="P13" s="44"/>
    </row>
    <row r="14" ht="36.75" customHeight="1">
      <c r="A14" s="1"/>
      <c r="B14" s="45"/>
      <c r="C14" s="46"/>
      <c r="D14" s="47" t="s">
        <v>17</v>
      </c>
      <c r="E14" s="157" t="s">
        <v>18</v>
      </c>
      <c r="F14" s="158" t="s">
        <v>19</v>
      </c>
      <c r="G14" s="50" t="s">
        <v>20</v>
      </c>
      <c r="H14" s="48" t="s">
        <v>18</v>
      </c>
      <c r="I14" s="51" t="s">
        <v>19</v>
      </c>
      <c r="J14" s="50" t="s">
        <v>20</v>
      </c>
      <c r="K14" s="48" t="s">
        <v>21</v>
      </c>
      <c r="L14" s="51" t="s">
        <v>19</v>
      </c>
      <c r="M14" s="52" t="s">
        <v>20</v>
      </c>
      <c r="N14" s="50" t="s">
        <v>18</v>
      </c>
      <c r="O14" s="50" t="s">
        <v>19</v>
      </c>
      <c r="P14" s="50" t="s">
        <v>20</v>
      </c>
    </row>
    <row r="15" ht="17.25" customHeight="1">
      <c r="A15" s="1"/>
      <c r="B15" s="53">
        <v>1.0</v>
      </c>
      <c r="C15" s="54" t="s">
        <v>22</v>
      </c>
      <c r="D15" s="150" t="s">
        <v>23</v>
      </c>
      <c r="E15" s="27"/>
      <c r="F15" s="56"/>
      <c r="G15" s="57">
        <f t="shared" ref="G15:G23" si="2">SUM(E15:F15)</f>
        <v>0</v>
      </c>
      <c r="H15" s="57"/>
      <c r="I15" s="57"/>
      <c r="J15" s="57">
        <f t="shared" ref="J15:J18" si="3">SUM(H15:I15)</f>
        <v>0</v>
      </c>
      <c r="K15" s="57"/>
      <c r="L15" s="58"/>
      <c r="M15" s="57">
        <f t="shared" ref="M15:M28" si="4">SUM(K15:L15)</f>
        <v>0</v>
      </c>
      <c r="N15" s="57">
        <f t="shared" ref="N15:P15" si="1">SUM(E15,H15,K15)</f>
        <v>0</v>
      </c>
      <c r="O15" s="57">
        <f t="shared" si="1"/>
        <v>0</v>
      </c>
      <c r="P15" s="57">
        <f t="shared" si="1"/>
        <v>0</v>
      </c>
    </row>
    <row r="16" ht="17.25" customHeight="1">
      <c r="A16" s="1"/>
      <c r="B16" s="60">
        <v>2.0</v>
      </c>
      <c r="C16" s="61" t="s">
        <v>24</v>
      </c>
      <c r="D16" s="150" t="s">
        <v>23</v>
      </c>
      <c r="E16" s="27"/>
      <c r="F16" s="56"/>
      <c r="G16" s="57">
        <f t="shared" si="2"/>
        <v>0</v>
      </c>
      <c r="H16" s="64"/>
      <c r="I16" s="65"/>
      <c r="J16" s="57">
        <f t="shared" si="3"/>
        <v>0</v>
      </c>
      <c r="K16" s="64"/>
      <c r="L16" s="66"/>
      <c r="M16" s="57">
        <f t="shared" si="4"/>
        <v>0</v>
      </c>
      <c r="N16" s="57">
        <f t="shared" ref="N16:P16" si="5">SUM(E16,H16,K16)</f>
        <v>0</v>
      </c>
      <c r="O16" s="57">
        <f t="shared" si="5"/>
        <v>0</v>
      </c>
      <c r="P16" s="57">
        <f t="shared" si="5"/>
        <v>0</v>
      </c>
    </row>
    <row r="17" ht="17.25" customHeight="1">
      <c r="A17" s="1"/>
      <c r="B17" s="67">
        <v>3.0</v>
      </c>
      <c r="C17" s="54" t="s">
        <v>25</v>
      </c>
      <c r="D17" s="159"/>
      <c r="E17" s="159">
        <v>528.0</v>
      </c>
      <c r="F17" s="159">
        <v>570.0</v>
      </c>
      <c r="G17" s="57">
        <f t="shared" si="2"/>
        <v>1098</v>
      </c>
      <c r="H17" s="70"/>
      <c r="I17" s="57"/>
      <c r="J17" s="57">
        <f t="shared" si="3"/>
        <v>0</v>
      </c>
      <c r="K17" s="70"/>
      <c r="L17" s="58"/>
      <c r="M17" s="57">
        <f t="shared" si="4"/>
        <v>0</v>
      </c>
      <c r="N17" s="57">
        <f t="shared" ref="N17:P17" si="6">SUM(E17,H17,K17)</f>
        <v>528</v>
      </c>
      <c r="O17" s="57">
        <f t="shared" si="6"/>
        <v>570</v>
      </c>
      <c r="P17" s="57">
        <f t="shared" si="6"/>
        <v>1098</v>
      </c>
    </row>
    <row r="18" ht="17.25" customHeight="1">
      <c r="A18" s="1"/>
      <c r="B18" s="67">
        <v>4.0</v>
      </c>
      <c r="C18" s="54" t="s">
        <v>26</v>
      </c>
      <c r="D18" s="71"/>
      <c r="E18" s="72">
        <v>571.0</v>
      </c>
      <c r="F18" s="71">
        <v>430.0</v>
      </c>
      <c r="G18" s="57">
        <f t="shared" si="2"/>
        <v>1001</v>
      </c>
      <c r="H18" s="70"/>
      <c r="I18" s="57"/>
      <c r="J18" s="57">
        <f t="shared" si="3"/>
        <v>0</v>
      </c>
      <c r="K18" s="70"/>
      <c r="L18" s="58"/>
      <c r="M18" s="57">
        <f t="shared" si="4"/>
        <v>0</v>
      </c>
      <c r="N18" s="57">
        <f t="shared" ref="N18:P18" si="7">SUM(E18,H18,K18)</f>
        <v>571</v>
      </c>
      <c r="O18" s="57">
        <f t="shared" si="7"/>
        <v>430</v>
      </c>
      <c r="P18" s="57">
        <f t="shared" si="7"/>
        <v>1001</v>
      </c>
    </row>
    <row r="19" ht="17.25" customHeight="1">
      <c r="A19" s="1"/>
      <c r="B19" s="67">
        <v>5.0</v>
      </c>
      <c r="C19" s="73" t="s">
        <v>27</v>
      </c>
      <c r="D19" s="74"/>
      <c r="E19" s="70">
        <v>83.0</v>
      </c>
      <c r="F19" s="75">
        <v>107.0</v>
      </c>
      <c r="G19" s="57">
        <f t="shared" si="2"/>
        <v>190</v>
      </c>
      <c r="H19" s="70"/>
      <c r="I19" s="57"/>
      <c r="J19" s="57">
        <v>0.0</v>
      </c>
      <c r="K19" s="70"/>
      <c r="L19" s="58"/>
      <c r="M19" s="57">
        <f t="shared" si="4"/>
        <v>0</v>
      </c>
      <c r="N19" s="57">
        <f t="shared" ref="N19:P19" si="8">SUM(E19,H19,K19)</f>
        <v>83</v>
      </c>
      <c r="O19" s="57">
        <f t="shared" si="8"/>
        <v>107</v>
      </c>
      <c r="P19" s="57">
        <f t="shared" si="8"/>
        <v>190</v>
      </c>
    </row>
    <row r="20" ht="17.25" customHeight="1">
      <c r="A20" s="1"/>
      <c r="B20" s="67">
        <v>6.0</v>
      </c>
      <c r="C20" s="54" t="s">
        <v>28</v>
      </c>
      <c r="D20" s="150" t="s">
        <v>23</v>
      </c>
      <c r="E20" s="27"/>
      <c r="F20" s="56"/>
      <c r="G20" s="57">
        <f t="shared" si="2"/>
        <v>0</v>
      </c>
      <c r="H20" s="70"/>
      <c r="I20" s="57"/>
      <c r="J20" s="57">
        <f t="shared" ref="J20:J28" si="10">SUM(H20:I20)</f>
        <v>0</v>
      </c>
      <c r="K20" s="70"/>
      <c r="L20" s="58"/>
      <c r="M20" s="57">
        <f t="shared" si="4"/>
        <v>0</v>
      </c>
      <c r="N20" s="57">
        <f t="shared" ref="N20:P20" si="9">SUM(E20,H20,K20)</f>
        <v>0</v>
      </c>
      <c r="O20" s="57">
        <f t="shared" si="9"/>
        <v>0</v>
      </c>
      <c r="P20" s="57">
        <f t="shared" si="9"/>
        <v>0</v>
      </c>
    </row>
    <row r="21" ht="17.25" customHeight="1">
      <c r="A21" s="1"/>
      <c r="B21" s="67">
        <v>7.0</v>
      </c>
      <c r="C21" s="54" t="s">
        <v>29</v>
      </c>
      <c r="D21" s="150" t="s">
        <v>23</v>
      </c>
      <c r="E21" s="27"/>
      <c r="F21" s="56"/>
      <c r="G21" s="57">
        <f t="shared" si="2"/>
        <v>0</v>
      </c>
      <c r="H21" s="70"/>
      <c r="I21" s="57"/>
      <c r="J21" s="57">
        <f t="shared" si="10"/>
        <v>0</v>
      </c>
      <c r="K21" s="70"/>
      <c r="L21" s="58"/>
      <c r="M21" s="57">
        <f t="shared" si="4"/>
        <v>0</v>
      </c>
      <c r="N21" s="57">
        <f t="shared" ref="N21:P21" si="11">SUM(E21,H21,K21)</f>
        <v>0</v>
      </c>
      <c r="O21" s="57">
        <f t="shared" si="11"/>
        <v>0</v>
      </c>
      <c r="P21" s="57">
        <f t="shared" si="11"/>
        <v>0</v>
      </c>
    </row>
    <row r="22" ht="17.25" customHeight="1">
      <c r="A22" s="1"/>
      <c r="B22" s="67">
        <v>8.0</v>
      </c>
      <c r="C22" s="54" t="s">
        <v>30</v>
      </c>
      <c r="D22" s="74"/>
      <c r="E22" s="70">
        <v>2153.0</v>
      </c>
      <c r="F22" s="75">
        <v>2184.0</v>
      </c>
      <c r="G22" s="57">
        <f t="shared" si="2"/>
        <v>4337</v>
      </c>
      <c r="H22" s="70"/>
      <c r="I22" s="57"/>
      <c r="J22" s="57">
        <f t="shared" si="10"/>
        <v>0</v>
      </c>
      <c r="K22" s="70"/>
      <c r="L22" s="58"/>
      <c r="M22" s="57">
        <f t="shared" si="4"/>
        <v>0</v>
      </c>
      <c r="N22" s="57">
        <f t="shared" ref="N22:P22" si="12">SUM(E22,H22,K22)</f>
        <v>2153</v>
      </c>
      <c r="O22" s="57">
        <f t="shared" si="12"/>
        <v>2184</v>
      </c>
      <c r="P22" s="57">
        <f t="shared" si="12"/>
        <v>4337</v>
      </c>
    </row>
    <row r="23" ht="17.25" customHeight="1">
      <c r="A23" s="1"/>
      <c r="B23" s="67">
        <v>9.0</v>
      </c>
      <c r="C23" s="54" t="s">
        <v>31</v>
      </c>
      <c r="D23" s="150" t="s">
        <v>23</v>
      </c>
      <c r="E23" s="27"/>
      <c r="F23" s="56"/>
      <c r="G23" s="57">
        <f t="shared" si="2"/>
        <v>0</v>
      </c>
      <c r="H23" s="70"/>
      <c r="I23" s="57"/>
      <c r="J23" s="57">
        <f t="shared" si="10"/>
        <v>0</v>
      </c>
      <c r="K23" s="70"/>
      <c r="L23" s="58"/>
      <c r="M23" s="57">
        <f t="shared" si="4"/>
        <v>0</v>
      </c>
      <c r="N23" s="57">
        <f t="shared" ref="N23:P23" si="13">SUM(E23,H23,K23)</f>
        <v>0</v>
      </c>
      <c r="O23" s="57">
        <f t="shared" si="13"/>
        <v>0</v>
      </c>
      <c r="P23" s="57">
        <f t="shared" si="13"/>
        <v>0</v>
      </c>
    </row>
    <row r="24" ht="17.25" customHeight="1">
      <c r="A24" s="1"/>
      <c r="B24" s="67">
        <v>10.0</v>
      </c>
      <c r="C24" s="146" t="s">
        <v>32</v>
      </c>
      <c r="D24" s="77"/>
      <c r="E24" s="77"/>
      <c r="F24" s="77"/>
      <c r="G24" s="160">
        <v>168.0</v>
      </c>
      <c r="H24" s="70"/>
      <c r="I24" s="57"/>
      <c r="J24" s="57">
        <f t="shared" si="10"/>
        <v>0</v>
      </c>
      <c r="K24" s="70"/>
      <c r="L24" s="58"/>
      <c r="M24" s="57">
        <f t="shared" si="4"/>
        <v>0</v>
      </c>
      <c r="N24" s="57">
        <f t="shared" ref="N24:P24" si="14">SUM(E24,H24,K24)</f>
        <v>0</v>
      </c>
      <c r="O24" s="57">
        <f t="shared" si="14"/>
        <v>0</v>
      </c>
      <c r="P24" s="57">
        <f t="shared" si="14"/>
        <v>168</v>
      </c>
    </row>
    <row r="25" ht="17.25" customHeight="1">
      <c r="A25" s="1"/>
      <c r="B25" s="67">
        <v>11.0</v>
      </c>
      <c r="C25" s="54" t="s">
        <v>65</v>
      </c>
      <c r="D25" s="159"/>
      <c r="E25" s="159">
        <v>121.0</v>
      </c>
      <c r="F25" s="159">
        <v>130.0</v>
      </c>
      <c r="G25" s="57">
        <f t="shared" ref="G25:G28" si="16">SUM(E25:F25)</f>
        <v>251</v>
      </c>
      <c r="H25" s="70"/>
      <c r="I25" s="57"/>
      <c r="J25" s="57">
        <f t="shared" si="10"/>
        <v>0</v>
      </c>
      <c r="K25" s="70"/>
      <c r="L25" s="58"/>
      <c r="M25" s="57">
        <f t="shared" si="4"/>
        <v>0</v>
      </c>
      <c r="N25" s="57">
        <f t="shared" ref="N25:P25" si="15">SUM(E25,H25,K25)</f>
        <v>121</v>
      </c>
      <c r="O25" s="57">
        <f t="shared" si="15"/>
        <v>130</v>
      </c>
      <c r="P25" s="57">
        <f t="shared" si="15"/>
        <v>251</v>
      </c>
    </row>
    <row r="26" ht="17.25" customHeight="1">
      <c r="A26" s="1"/>
      <c r="B26" s="67">
        <v>12.0</v>
      </c>
      <c r="C26" s="54" t="s">
        <v>66</v>
      </c>
      <c r="D26" s="71"/>
      <c r="E26" s="70">
        <v>175.0</v>
      </c>
      <c r="F26" s="75">
        <v>167.0</v>
      </c>
      <c r="G26" s="57">
        <f t="shared" si="16"/>
        <v>342</v>
      </c>
      <c r="H26" s="70"/>
      <c r="I26" s="57"/>
      <c r="J26" s="57">
        <f t="shared" si="10"/>
        <v>0</v>
      </c>
      <c r="K26" s="70"/>
      <c r="L26" s="58"/>
      <c r="M26" s="57">
        <f t="shared" si="4"/>
        <v>0</v>
      </c>
      <c r="N26" s="57">
        <f t="shared" ref="N26:P26" si="17">SUM(E26,H26,K26)</f>
        <v>175</v>
      </c>
      <c r="O26" s="57">
        <f t="shared" si="17"/>
        <v>167</v>
      </c>
      <c r="P26" s="57">
        <f t="shared" si="17"/>
        <v>342</v>
      </c>
    </row>
    <row r="27" ht="17.25" customHeight="1">
      <c r="A27" s="1"/>
      <c r="B27" s="67">
        <v>13.0</v>
      </c>
      <c r="C27" s="54" t="s">
        <v>35</v>
      </c>
      <c r="D27" s="74"/>
      <c r="E27" s="70">
        <v>419.0</v>
      </c>
      <c r="F27" s="57">
        <v>471.0</v>
      </c>
      <c r="G27" s="57">
        <f t="shared" si="16"/>
        <v>890</v>
      </c>
      <c r="H27" s="70"/>
      <c r="I27" s="57"/>
      <c r="J27" s="57">
        <f t="shared" si="10"/>
        <v>0</v>
      </c>
      <c r="K27" s="70"/>
      <c r="L27" s="58"/>
      <c r="M27" s="57">
        <f t="shared" si="4"/>
        <v>0</v>
      </c>
      <c r="N27" s="57">
        <f t="shared" ref="N27:P27" si="18">SUM(E27,H27,K27)</f>
        <v>419</v>
      </c>
      <c r="O27" s="57">
        <f t="shared" si="18"/>
        <v>471</v>
      </c>
      <c r="P27" s="57">
        <f t="shared" si="18"/>
        <v>890</v>
      </c>
    </row>
    <row r="28" ht="17.25" customHeight="1">
      <c r="A28" s="1"/>
      <c r="B28" s="67">
        <v>14.0</v>
      </c>
      <c r="C28" s="54" t="s">
        <v>36</v>
      </c>
      <c r="D28" s="75"/>
      <c r="E28" s="70">
        <v>30.0</v>
      </c>
      <c r="F28" s="57">
        <v>32.0</v>
      </c>
      <c r="G28" s="57">
        <f t="shared" si="16"/>
        <v>62</v>
      </c>
      <c r="H28" s="70"/>
      <c r="I28" s="57"/>
      <c r="J28" s="57">
        <f t="shared" si="10"/>
        <v>0</v>
      </c>
      <c r="K28" s="70"/>
      <c r="L28" s="58"/>
      <c r="M28" s="57">
        <f t="shared" si="4"/>
        <v>0</v>
      </c>
      <c r="N28" s="57">
        <f t="shared" ref="N28:P28" si="19">SUM(E28,H28,K28)</f>
        <v>30</v>
      </c>
      <c r="O28" s="57">
        <f t="shared" si="19"/>
        <v>32</v>
      </c>
      <c r="P28" s="57">
        <f t="shared" si="19"/>
        <v>62</v>
      </c>
    </row>
    <row r="29" ht="17.25" customHeight="1">
      <c r="A29" s="1"/>
      <c r="B29" s="67"/>
      <c r="C29" s="54"/>
      <c r="D29" s="75"/>
      <c r="E29" s="70"/>
      <c r="F29" s="57"/>
      <c r="G29" s="82"/>
      <c r="H29" s="70"/>
      <c r="I29" s="57"/>
      <c r="J29" s="82"/>
      <c r="K29" s="70"/>
      <c r="L29" s="53"/>
      <c r="M29" s="57"/>
      <c r="N29" s="57"/>
      <c r="O29" s="57"/>
      <c r="P29" s="57"/>
    </row>
    <row r="30" ht="17.25" customHeight="1">
      <c r="A30" s="1"/>
      <c r="B30" s="83"/>
      <c r="C30" s="84" t="s">
        <v>37</v>
      </c>
      <c r="D30" s="85"/>
      <c r="E30" s="86"/>
      <c r="F30" s="87"/>
      <c r="G30" s="88"/>
      <c r="H30" s="86"/>
      <c r="I30" s="87"/>
      <c r="J30" s="88"/>
      <c r="K30" s="86"/>
      <c r="L30" s="89"/>
      <c r="M30" s="87"/>
      <c r="N30" s="87"/>
      <c r="O30" s="87"/>
      <c r="P30" s="87"/>
    </row>
    <row r="31" ht="17.25" customHeight="1">
      <c r="A31" s="1"/>
      <c r="B31" s="67">
        <v>1.0</v>
      </c>
      <c r="C31" s="90" t="s">
        <v>38</v>
      </c>
      <c r="D31" s="75"/>
      <c r="E31" s="70">
        <v>898.0</v>
      </c>
      <c r="F31" s="57">
        <v>599.0</v>
      </c>
      <c r="G31" s="91">
        <f>SUM(E31:F31)</f>
        <v>1497</v>
      </c>
      <c r="H31" s="80"/>
      <c r="I31" s="57"/>
      <c r="J31" s="91">
        <f t="shared" ref="J31:J35" si="21">SUM(H31:I31)</f>
        <v>0</v>
      </c>
      <c r="K31" s="80"/>
      <c r="L31" s="53"/>
      <c r="M31" s="57">
        <f t="shared" ref="M31:M35" si="22">SUM(K31:L31)</f>
        <v>0</v>
      </c>
      <c r="N31" s="91">
        <f t="shared" ref="N31:P31" si="20">SUM(E31,H31,K31)</f>
        <v>898</v>
      </c>
      <c r="O31" s="57">
        <f t="shared" si="20"/>
        <v>599</v>
      </c>
      <c r="P31" s="57">
        <f t="shared" si="20"/>
        <v>1497</v>
      </c>
    </row>
    <row r="32" ht="17.25" customHeight="1">
      <c r="A32" s="1"/>
      <c r="B32" s="67">
        <v>2.0</v>
      </c>
      <c r="C32" s="92" t="s">
        <v>39</v>
      </c>
      <c r="D32" s="93"/>
      <c r="E32" s="94"/>
      <c r="F32" s="95"/>
      <c r="G32" s="95">
        <v>18081.0</v>
      </c>
      <c r="H32" s="97"/>
      <c r="I32" s="98"/>
      <c r="J32" s="98">
        <f t="shared" si="21"/>
        <v>0</v>
      </c>
      <c r="K32" s="97"/>
      <c r="L32" s="99"/>
      <c r="M32" s="153">
        <f t="shared" si="22"/>
        <v>0</v>
      </c>
      <c r="N32" s="95">
        <f t="shared" ref="N32:P32" si="23">SUM(E32,H32,K32)</f>
        <v>0</v>
      </c>
      <c r="O32" s="95">
        <f t="shared" si="23"/>
        <v>0</v>
      </c>
      <c r="P32" s="95">
        <f t="shared" si="23"/>
        <v>18081</v>
      </c>
    </row>
    <row r="33" ht="17.25" customHeight="1">
      <c r="A33" s="1"/>
      <c r="B33" s="67">
        <v>3.0</v>
      </c>
      <c r="C33" s="101" t="s">
        <v>40</v>
      </c>
      <c r="D33" s="75"/>
      <c r="E33" s="102"/>
      <c r="F33" s="103"/>
      <c r="G33" s="103">
        <v>1740.0</v>
      </c>
      <c r="H33" s="80"/>
      <c r="I33" s="57"/>
      <c r="J33" s="82">
        <f t="shared" si="21"/>
        <v>0</v>
      </c>
      <c r="K33" s="70"/>
      <c r="L33" s="53"/>
      <c r="M33" s="57">
        <f t="shared" si="22"/>
        <v>0</v>
      </c>
      <c r="N33" s="103">
        <f t="shared" ref="N33:P33" si="24">SUM(E33,H33,K33)</f>
        <v>0</v>
      </c>
      <c r="O33" s="103">
        <f t="shared" si="24"/>
        <v>0</v>
      </c>
      <c r="P33" s="103">
        <f t="shared" si="24"/>
        <v>1740</v>
      </c>
    </row>
    <row r="34" ht="17.25" customHeight="1">
      <c r="A34" s="1"/>
      <c r="B34" s="67">
        <v>4.0</v>
      </c>
      <c r="C34" s="106" t="s">
        <v>41</v>
      </c>
      <c r="D34" s="75"/>
      <c r="E34" s="102"/>
      <c r="F34" s="103"/>
      <c r="G34" s="103">
        <v>11440.0</v>
      </c>
      <c r="H34" s="80"/>
      <c r="I34" s="57"/>
      <c r="J34" s="82">
        <f t="shared" si="21"/>
        <v>0</v>
      </c>
      <c r="K34" s="70"/>
      <c r="L34" s="53"/>
      <c r="M34" s="57">
        <f t="shared" si="22"/>
        <v>0</v>
      </c>
      <c r="N34" s="103">
        <f t="shared" ref="N34:P34" si="25">SUM(E34,H34,K34)</f>
        <v>0</v>
      </c>
      <c r="O34" s="103">
        <f t="shared" si="25"/>
        <v>0</v>
      </c>
      <c r="P34" s="103">
        <f t="shared" si="25"/>
        <v>11440</v>
      </c>
    </row>
    <row r="35" ht="17.25" customHeight="1">
      <c r="A35" s="1"/>
      <c r="B35" s="67">
        <v>5.0</v>
      </c>
      <c r="C35" s="106" t="s">
        <v>42</v>
      </c>
      <c r="D35" s="75"/>
      <c r="E35" s="70">
        <v>95.0</v>
      </c>
      <c r="F35" s="57">
        <v>101.0</v>
      </c>
      <c r="G35" s="57">
        <v>196.0</v>
      </c>
      <c r="H35" s="80"/>
      <c r="I35" s="57"/>
      <c r="J35" s="82">
        <f t="shared" si="21"/>
        <v>0</v>
      </c>
      <c r="K35" s="70"/>
      <c r="L35" s="53"/>
      <c r="M35" s="57">
        <f t="shared" si="22"/>
        <v>0</v>
      </c>
      <c r="N35" s="57">
        <f t="shared" ref="N35:P35" si="26">SUM(E35,H35,K35)</f>
        <v>95</v>
      </c>
      <c r="O35" s="57">
        <f t="shared" si="26"/>
        <v>101</v>
      </c>
      <c r="P35" s="57">
        <f t="shared" si="26"/>
        <v>196</v>
      </c>
    </row>
    <row r="36" ht="17.25" customHeight="1">
      <c r="A36" s="1"/>
      <c r="B36" s="67">
        <v>6.0</v>
      </c>
      <c r="C36" s="106" t="s">
        <v>71</v>
      </c>
      <c r="D36" s="75"/>
      <c r="E36" s="70"/>
      <c r="F36" s="57"/>
      <c r="G36" s="161">
        <v>3120.0</v>
      </c>
      <c r="H36" s="80"/>
      <c r="I36" s="57"/>
      <c r="J36" s="82"/>
      <c r="K36" s="70"/>
      <c r="L36" s="53"/>
      <c r="M36" s="82"/>
      <c r="N36" s="82"/>
      <c r="O36" s="82"/>
      <c r="P36" s="103">
        <f>SUM(G36,J36,M36)</f>
        <v>3120</v>
      </c>
    </row>
    <row r="37" ht="17.25" customHeight="1">
      <c r="A37" s="1"/>
      <c r="B37" s="67"/>
      <c r="C37" s="106" t="s">
        <v>44</v>
      </c>
      <c r="D37" s="75"/>
      <c r="E37" s="70"/>
      <c r="F37" s="57"/>
      <c r="G37" s="109">
        <f>SUM(E37:F37)</f>
        <v>0</v>
      </c>
      <c r="H37" s="70"/>
      <c r="I37" s="57"/>
      <c r="J37" s="110">
        <f>SUM(H37:I37)</f>
        <v>0</v>
      </c>
      <c r="K37" s="70"/>
      <c r="L37" s="53"/>
      <c r="M37" s="59">
        <f>SUM(K37:L37)</f>
        <v>0</v>
      </c>
      <c r="N37" s="111">
        <f t="shared" ref="N37:P37" si="27">SUM(E37,H37,K37)</f>
        <v>0</v>
      </c>
      <c r="O37" s="59">
        <f t="shared" si="27"/>
        <v>0</v>
      </c>
      <c r="P37" s="57">
        <f t="shared" si="27"/>
        <v>0</v>
      </c>
    </row>
    <row r="38" ht="24.0" customHeight="1">
      <c r="A38" s="1"/>
      <c r="B38" s="112" t="s">
        <v>45</v>
      </c>
      <c r="C38" s="113"/>
      <c r="D38" s="114"/>
      <c r="E38" s="115">
        <f t="shared" ref="E38:P38" si="28">SUM(E15:E37)</f>
        <v>5073</v>
      </c>
      <c r="F38" s="116">
        <f t="shared" si="28"/>
        <v>4791</v>
      </c>
      <c r="G38" s="115">
        <f t="shared" si="28"/>
        <v>44413</v>
      </c>
      <c r="H38" s="115">
        <f t="shared" si="28"/>
        <v>0</v>
      </c>
      <c r="I38" s="115">
        <f t="shared" si="28"/>
        <v>0</v>
      </c>
      <c r="J38" s="115">
        <f t="shared" si="28"/>
        <v>0</v>
      </c>
      <c r="K38" s="115">
        <f t="shared" si="28"/>
        <v>0</v>
      </c>
      <c r="L38" s="115">
        <f t="shared" si="28"/>
        <v>0</v>
      </c>
      <c r="M38" s="115">
        <f t="shared" si="28"/>
        <v>0</v>
      </c>
      <c r="N38" s="115">
        <f t="shared" si="28"/>
        <v>5073</v>
      </c>
      <c r="O38" s="115">
        <f t="shared" si="28"/>
        <v>4791</v>
      </c>
      <c r="P38" s="115">
        <f t="shared" si="28"/>
        <v>44413</v>
      </c>
    </row>
    <row r="39" ht="15.75" customHeight="1">
      <c r="A39" s="1"/>
      <c r="B39" s="117" t="s">
        <v>46</v>
      </c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</row>
    <row r="40" ht="21.0" customHeight="1">
      <c r="A40" s="1"/>
      <c r="B40" s="118" t="s">
        <v>47</v>
      </c>
      <c r="C40" s="27"/>
      <c r="D40" s="27"/>
      <c r="E40" s="27"/>
      <c r="F40" s="27"/>
      <c r="G40" s="27"/>
      <c r="H40" s="27"/>
      <c r="I40" s="27"/>
      <c r="J40" s="56"/>
      <c r="K40" s="119"/>
      <c r="L40" s="119"/>
      <c r="M40" s="119"/>
      <c r="N40" s="119"/>
      <c r="O40" s="119"/>
      <c r="P40" s="119"/>
    </row>
    <row r="41" ht="21.0" customHeight="1">
      <c r="A41" s="1"/>
      <c r="B41" s="120" t="s">
        <v>9</v>
      </c>
      <c r="C41" s="56"/>
      <c r="D41" s="121">
        <v>45748.0</v>
      </c>
      <c r="E41" s="27"/>
      <c r="F41" s="27"/>
      <c r="G41" s="27"/>
      <c r="H41" s="27"/>
      <c r="I41" s="27"/>
      <c r="J41" s="56"/>
      <c r="K41" s="1"/>
      <c r="L41" s="1"/>
      <c r="M41" s="1"/>
      <c r="N41" s="1"/>
      <c r="O41" s="1"/>
      <c r="P41" s="1"/>
    </row>
    <row r="42" ht="21.0" customHeight="1">
      <c r="A42" s="1"/>
      <c r="B42" s="122"/>
      <c r="C42" s="123" t="s">
        <v>12</v>
      </c>
      <c r="D42" s="124" t="s">
        <v>17</v>
      </c>
      <c r="E42" s="125" t="s">
        <v>75</v>
      </c>
      <c r="F42" s="125" t="s">
        <v>76</v>
      </c>
      <c r="G42" s="125" t="s">
        <v>77</v>
      </c>
      <c r="H42" s="126" t="s">
        <v>51</v>
      </c>
      <c r="I42" s="126" t="s">
        <v>52</v>
      </c>
      <c r="J42" s="126" t="s">
        <v>53</v>
      </c>
      <c r="K42" s="1"/>
      <c r="L42" s="1"/>
      <c r="M42" s="1"/>
      <c r="N42" s="1"/>
      <c r="O42" s="1"/>
      <c r="P42" s="1"/>
    </row>
    <row r="43" ht="26.25" customHeight="1">
      <c r="A43" s="1"/>
      <c r="B43" s="34"/>
      <c r="C43" s="34"/>
      <c r="D43" s="34"/>
      <c r="E43" s="34"/>
      <c r="F43" s="34"/>
      <c r="G43" s="34"/>
      <c r="H43" s="34"/>
      <c r="I43" s="34"/>
      <c r="J43" s="34"/>
      <c r="K43" s="1"/>
      <c r="L43" s="1"/>
      <c r="M43" s="1"/>
      <c r="N43" s="1"/>
      <c r="O43" s="1"/>
      <c r="P43" s="1"/>
    </row>
    <row r="44" ht="47.25" customHeight="1">
      <c r="A44" s="1"/>
      <c r="B44" s="46"/>
      <c r="C44" s="46"/>
      <c r="D44" s="46"/>
      <c r="E44" s="46"/>
      <c r="F44" s="46"/>
      <c r="G44" s="46"/>
      <c r="H44" s="46"/>
      <c r="I44" s="46"/>
      <c r="J44" s="46"/>
      <c r="K44" s="1"/>
      <c r="L44" s="1"/>
      <c r="M44" s="1"/>
      <c r="N44" s="1"/>
      <c r="O44" s="1"/>
      <c r="P44" s="1"/>
    </row>
    <row r="45" ht="21.0" customHeight="1">
      <c r="A45" s="1"/>
      <c r="B45" s="53">
        <v>1.0</v>
      </c>
      <c r="C45" s="127" t="s">
        <v>54</v>
      </c>
      <c r="D45" s="57"/>
      <c r="E45" s="57">
        <v>754.0</v>
      </c>
      <c r="F45" s="57">
        <v>754.0</v>
      </c>
      <c r="G45" s="57">
        <v>374.0</v>
      </c>
      <c r="H45" s="57"/>
      <c r="I45" s="57"/>
      <c r="J45" s="57"/>
      <c r="K45" s="1"/>
      <c r="L45" s="1"/>
      <c r="M45" s="1"/>
      <c r="N45" s="1"/>
      <c r="O45" s="1"/>
      <c r="P45" s="1"/>
    </row>
    <row r="46" ht="27.0" customHeight="1">
      <c r="A46" s="128"/>
      <c r="B46" s="129">
        <v>2.0</v>
      </c>
      <c r="C46" s="73" t="s">
        <v>27</v>
      </c>
      <c r="D46" s="130"/>
      <c r="E46" s="131">
        <v>16.0</v>
      </c>
      <c r="F46" s="131">
        <v>57.0</v>
      </c>
      <c r="G46" s="131">
        <v>57.0</v>
      </c>
      <c r="H46" s="131"/>
      <c r="I46" s="131"/>
      <c r="J46" s="131"/>
      <c r="K46" s="132"/>
      <c r="L46" s="132"/>
      <c r="M46" s="132"/>
      <c r="N46" s="132"/>
      <c r="O46" s="132"/>
      <c r="P46" s="132"/>
    </row>
    <row r="47" ht="21.0" customHeight="1">
      <c r="A47" s="1"/>
      <c r="B47" s="53">
        <v>3.0</v>
      </c>
      <c r="C47" s="133" t="s">
        <v>55</v>
      </c>
      <c r="D47" s="57"/>
      <c r="E47" s="134">
        <v>75.0</v>
      </c>
      <c r="F47" s="53">
        <v>75.0</v>
      </c>
      <c r="G47" s="53">
        <v>41.0</v>
      </c>
      <c r="H47" s="57"/>
      <c r="I47" s="57"/>
      <c r="J47" s="57"/>
      <c r="K47" s="1"/>
      <c r="L47" s="1"/>
      <c r="M47" s="1"/>
      <c r="N47" s="1"/>
      <c r="O47" s="1"/>
      <c r="P47" s="1"/>
    </row>
    <row r="48" ht="21.0" customHeight="1">
      <c r="A48" s="1"/>
      <c r="B48" s="53">
        <v>4.0</v>
      </c>
      <c r="C48" s="133" t="s">
        <v>56</v>
      </c>
      <c r="D48" s="57"/>
      <c r="E48" s="57">
        <v>302.0</v>
      </c>
      <c r="F48" s="57">
        <v>436.0</v>
      </c>
      <c r="G48" s="57">
        <v>239.0</v>
      </c>
      <c r="H48" s="57"/>
      <c r="I48" s="57"/>
      <c r="J48" s="57"/>
      <c r="K48" s="1"/>
      <c r="L48" s="1"/>
      <c r="M48" s="1"/>
      <c r="N48" s="1"/>
      <c r="O48" s="1"/>
      <c r="P48" s="1"/>
    </row>
    <row r="49" ht="21.0" customHeight="1">
      <c r="A49" s="1"/>
      <c r="B49" s="53">
        <v>5.0</v>
      </c>
      <c r="C49" s="127" t="s">
        <v>57</v>
      </c>
      <c r="D49" s="135"/>
      <c r="E49" s="53">
        <v>110.0</v>
      </c>
      <c r="F49" s="53">
        <v>110.0</v>
      </c>
      <c r="G49" s="53">
        <v>42.0</v>
      </c>
      <c r="H49" s="53"/>
      <c r="I49" s="53"/>
      <c r="J49" s="53"/>
      <c r="K49" s="1"/>
      <c r="L49" s="1"/>
      <c r="M49" s="1"/>
      <c r="N49" s="1"/>
      <c r="O49" s="1"/>
      <c r="P49" s="1"/>
    </row>
    <row r="50" ht="21.0" customHeight="1">
      <c r="A50" s="1"/>
      <c r="B50" s="53">
        <v>6.0</v>
      </c>
      <c r="C50" s="133" t="s">
        <v>58</v>
      </c>
      <c r="D50" s="57"/>
      <c r="E50" s="150" t="s">
        <v>23</v>
      </c>
      <c r="F50" s="27"/>
      <c r="G50" s="56"/>
      <c r="H50" s="57"/>
      <c r="I50" s="57"/>
      <c r="J50" s="57"/>
      <c r="K50" s="1"/>
      <c r="L50" s="1"/>
      <c r="M50" s="1"/>
      <c r="N50" s="1"/>
      <c r="O50" s="1"/>
      <c r="P50" s="1"/>
    </row>
    <row r="51" ht="21.0" customHeight="1">
      <c r="A51" s="1"/>
      <c r="B51" s="53">
        <v>7.0</v>
      </c>
      <c r="C51" s="137" t="s">
        <v>59</v>
      </c>
      <c r="D51" s="57"/>
      <c r="E51" s="150" t="s">
        <v>23</v>
      </c>
      <c r="F51" s="27"/>
      <c r="G51" s="56"/>
      <c r="H51" s="57"/>
      <c r="I51" s="57"/>
      <c r="J51" s="57"/>
      <c r="K51" s="1"/>
      <c r="L51" s="1"/>
      <c r="M51" s="1"/>
      <c r="N51" s="1"/>
      <c r="O51" s="1"/>
      <c r="P51" s="1"/>
    </row>
    <row r="52" ht="21.0" customHeight="1">
      <c r="A52" s="1"/>
      <c r="B52" s="53">
        <v>8.0</v>
      </c>
      <c r="C52" s="133" t="s">
        <v>60</v>
      </c>
      <c r="D52" s="57"/>
      <c r="E52" s="57">
        <v>62.0</v>
      </c>
      <c r="F52" s="57">
        <v>62.0</v>
      </c>
      <c r="G52" s="57">
        <v>31.0</v>
      </c>
      <c r="H52" s="57"/>
      <c r="I52" s="57"/>
      <c r="J52" s="57"/>
      <c r="K52" s="1"/>
      <c r="L52" s="1"/>
      <c r="M52" s="1"/>
      <c r="N52" s="1"/>
      <c r="O52" s="1"/>
      <c r="P52" s="1"/>
    </row>
    <row r="53" ht="21.0" customHeight="1">
      <c r="A53" s="1"/>
      <c r="B53" s="53">
        <v>9.0</v>
      </c>
      <c r="C53" s="133" t="s">
        <v>61</v>
      </c>
      <c r="D53" s="57"/>
      <c r="E53" s="57">
        <v>227.0</v>
      </c>
      <c r="F53" s="57">
        <v>229.0</v>
      </c>
      <c r="G53" s="57">
        <v>120.0</v>
      </c>
      <c r="H53" s="57"/>
      <c r="I53" s="57"/>
      <c r="J53" s="57"/>
      <c r="K53" s="1"/>
      <c r="L53" s="1"/>
      <c r="M53" s="1"/>
      <c r="N53" s="1"/>
      <c r="O53" s="1"/>
      <c r="P53" s="1"/>
    </row>
    <row r="54" ht="21.0" customHeight="1">
      <c r="A54" s="1"/>
      <c r="B54" s="138" t="s">
        <v>45</v>
      </c>
      <c r="C54" s="56"/>
      <c r="D54" s="139"/>
      <c r="E54" s="140">
        <f t="shared" ref="E54:G54" si="29">SUM(E45:E53)</f>
        <v>1546</v>
      </c>
      <c r="F54" s="140">
        <f t="shared" si="29"/>
        <v>1723</v>
      </c>
      <c r="G54" s="140">
        <f t="shared" si="29"/>
        <v>904</v>
      </c>
      <c r="H54" s="140"/>
      <c r="I54" s="140"/>
      <c r="J54" s="140"/>
      <c r="K54" s="1"/>
      <c r="L54" s="1"/>
      <c r="M54" s="1"/>
      <c r="N54" s="1"/>
      <c r="O54" s="1"/>
      <c r="P54" s="1"/>
    </row>
    <row r="55" ht="21.0" customHeight="1">
      <c r="A55" s="1"/>
      <c r="B55" s="117" t="s">
        <v>62</v>
      </c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</row>
    <row r="56" ht="15.0" customHeight="1">
      <c r="A56" s="1"/>
      <c r="B56" s="117" t="s">
        <v>63</v>
      </c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</row>
    <row r="57" ht="13.5" customHeight="1">
      <c r="A57" s="1"/>
      <c r="B57" s="117" t="s">
        <v>64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</row>
  </sheetData>
  <mergeCells count="31">
    <mergeCell ref="N11:P13"/>
    <mergeCell ref="K12:M13"/>
    <mergeCell ref="H4:I4"/>
    <mergeCell ref="B10:P10"/>
    <mergeCell ref="B11:C11"/>
    <mergeCell ref="E11:M11"/>
    <mergeCell ref="B12:B14"/>
    <mergeCell ref="E12:J12"/>
    <mergeCell ref="H13:J13"/>
    <mergeCell ref="C12:C14"/>
    <mergeCell ref="D15:F15"/>
    <mergeCell ref="D16:F16"/>
    <mergeCell ref="D20:F20"/>
    <mergeCell ref="D21:F21"/>
    <mergeCell ref="D23:F23"/>
    <mergeCell ref="B40:J40"/>
    <mergeCell ref="D41:J41"/>
    <mergeCell ref="G42:G44"/>
    <mergeCell ref="H42:H44"/>
    <mergeCell ref="I42:I44"/>
    <mergeCell ref="J42:J44"/>
    <mergeCell ref="E50:G50"/>
    <mergeCell ref="E51:G51"/>
    <mergeCell ref="B38:C38"/>
    <mergeCell ref="B41:C41"/>
    <mergeCell ref="B42:B44"/>
    <mergeCell ref="C42:C44"/>
    <mergeCell ref="D42:D44"/>
    <mergeCell ref="E42:E44"/>
    <mergeCell ref="F42:F44"/>
    <mergeCell ref="B54:C54"/>
  </mergeCells>
  <printOptions horizontalCentered="1"/>
  <pageMargins bottom="0.75" footer="0.0" header="0.0" left="0.25" right="0.25" top="0.75"/>
  <pageSetup fitToHeight="0" paperSize="14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 fitToPage="1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5.63"/>
    <col customWidth="1" min="3" max="3" width="32.38"/>
    <col customWidth="1" min="4" max="4" width="9.13"/>
    <col customWidth="1" min="5" max="14" width="7.63"/>
    <col customWidth="1" min="15" max="15" width="10.38"/>
    <col customWidth="1" min="16" max="16" width="10.75"/>
  </cols>
  <sheetData>
    <row r="1" ht="13.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 t="s">
        <v>1</v>
      </c>
    </row>
    <row r="2" ht="14.25" customHeight="1">
      <c r="A2" s="1"/>
      <c r="B2" s="3" t="s">
        <v>2</v>
      </c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8.25" customHeight="1">
      <c r="A3" s="1"/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5.75" customHeight="1">
      <c r="A4" s="1"/>
      <c r="B4" s="1"/>
      <c r="C4" s="1"/>
      <c r="D4" s="1"/>
      <c r="E4" s="1"/>
      <c r="F4" s="4" t="s">
        <v>3</v>
      </c>
      <c r="G4" s="4"/>
      <c r="H4" s="141">
        <v>45778.0</v>
      </c>
      <c r="I4" s="6"/>
      <c r="J4" s="7"/>
      <c r="K4" s="7"/>
      <c r="L4" s="7"/>
      <c r="M4" s="7"/>
      <c r="N4" s="7"/>
      <c r="O4" s="7"/>
      <c r="P4" s="8"/>
    </row>
    <row r="5" ht="15.75" customHeight="1">
      <c r="A5" s="1"/>
      <c r="B5" s="1"/>
      <c r="C5" s="1"/>
      <c r="D5" s="1"/>
      <c r="E5" s="1"/>
      <c r="F5" s="4" t="s">
        <v>4</v>
      </c>
      <c r="G5" s="4"/>
      <c r="H5" s="9" t="s">
        <v>5</v>
      </c>
      <c r="I5" s="9"/>
      <c r="J5" s="9"/>
      <c r="K5" s="9"/>
      <c r="L5" s="9"/>
      <c r="M5" s="9"/>
      <c r="N5" s="9"/>
      <c r="O5" s="9"/>
      <c r="P5" s="8"/>
    </row>
    <row r="6" ht="15.75" customHeight="1">
      <c r="A6" s="1"/>
      <c r="B6" s="1"/>
      <c r="C6" s="1"/>
      <c r="D6" s="1"/>
      <c r="E6" s="1"/>
      <c r="F6" s="4" t="s">
        <v>6</v>
      </c>
      <c r="G6" s="4"/>
      <c r="H6" s="7"/>
      <c r="I6" s="7"/>
      <c r="J6" s="7"/>
      <c r="K6" s="7"/>
      <c r="L6" s="7"/>
      <c r="M6" s="7"/>
      <c r="N6" s="7"/>
      <c r="O6" s="7"/>
      <c r="P6" s="8"/>
    </row>
    <row r="7" ht="15.75" customHeight="1">
      <c r="A7" s="1"/>
      <c r="B7" s="1"/>
      <c r="C7" s="1"/>
      <c r="D7" s="10"/>
      <c r="E7" s="10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ht="15.75" customHeight="1">
      <c r="A8" s="1"/>
      <c r="B8" s="1"/>
      <c r="C8" s="1"/>
      <c r="D8" s="4"/>
      <c r="E8" s="4" t="s">
        <v>7</v>
      </c>
      <c r="F8" s="11"/>
      <c r="G8" s="8"/>
      <c r="H8" s="10"/>
      <c r="I8" s="10"/>
      <c r="J8" s="10"/>
      <c r="K8" s="10"/>
      <c r="L8" s="10"/>
      <c r="M8" s="10"/>
      <c r="N8" s="10"/>
      <c r="O8" s="10"/>
      <c r="P8" s="1"/>
    </row>
    <row r="9" ht="17.25" customHeight="1">
      <c r="A9" s="1"/>
      <c r="B9" s="1"/>
      <c r="C9" s="1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ht="17.25" customHeight="1">
      <c r="A10" s="1"/>
      <c r="B10" s="12" t="s">
        <v>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ht="16.5" customHeight="1">
      <c r="A11" s="1"/>
      <c r="B11" s="14" t="s">
        <v>9</v>
      </c>
      <c r="C11" s="15"/>
      <c r="D11" s="16"/>
      <c r="E11" s="17" t="s">
        <v>10</v>
      </c>
      <c r="F11" s="18"/>
      <c r="G11" s="18"/>
      <c r="H11" s="18"/>
      <c r="I11" s="18"/>
      <c r="J11" s="18"/>
      <c r="K11" s="18"/>
      <c r="L11" s="18"/>
      <c r="M11" s="19"/>
      <c r="N11" s="20" t="s">
        <v>11</v>
      </c>
      <c r="O11" s="21"/>
      <c r="P11" s="22"/>
    </row>
    <row r="12" ht="15.0" customHeight="1">
      <c r="A12" s="1"/>
      <c r="B12" s="23"/>
      <c r="C12" s="24" t="s">
        <v>12</v>
      </c>
      <c r="D12" s="25"/>
      <c r="E12" s="26" t="s">
        <v>13</v>
      </c>
      <c r="F12" s="27"/>
      <c r="G12" s="27"/>
      <c r="H12" s="27"/>
      <c r="I12" s="27"/>
      <c r="J12" s="27"/>
      <c r="K12" s="28" t="s">
        <v>14</v>
      </c>
      <c r="L12" s="29"/>
      <c r="M12" s="30"/>
      <c r="N12" s="31"/>
      <c r="P12" s="32"/>
    </row>
    <row r="13" ht="28.5" customHeight="1">
      <c r="A13" s="1"/>
      <c r="B13" s="33"/>
      <c r="C13" s="34"/>
      <c r="D13" s="35"/>
      <c r="E13" s="36" t="s">
        <v>15</v>
      </c>
      <c r="F13" s="37"/>
      <c r="G13" s="38"/>
      <c r="H13" s="36" t="s">
        <v>16</v>
      </c>
      <c r="I13" s="37"/>
      <c r="J13" s="38"/>
      <c r="K13" s="39"/>
      <c r="L13" s="40"/>
      <c r="M13" s="41"/>
      <c r="N13" s="42"/>
      <c r="O13" s="43"/>
      <c r="P13" s="44"/>
    </row>
    <row r="14" ht="36.75" customHeight="1">
      <c r="A14" s="1"/>
      <c r="B14" s="45"/>
      <c r="C14" s="46"/>
      <c r="D14" s="162" t="s">
        <v>17</v>
      </c>
      <c r="E14" s="163" t="s">
        <v>18</v>
      </c>
      <c r="F14" s="164" t="s">
        <v>19</v>
      </c>
      <c r="G14" s="165" t="s">
        <v>20</v>
      </c>
      <c r="H14" s="163" t="s">
        <v>18</v>
      </c>
      <c r="I14" s="51" t="s">
        <v>19</v>
      </c>
      <c r="J14" s="50" t="s">
        <v>20</v>
      </c>
      <c r="K14" s="48" t="s">
        <v>21</v>
      </c>
      <c r="L14" s="51" t="s">
        <v>19</v>
      </c>
      <c r="M14" s="52" t="s">
        <v>20</v>
      </c>
      <c r="N14" s="50" t="s">
        <v>18</v>
      </c>
      <c r="O14" s="50" t="s">
        <v>19</v>
      </c>
      <c r="P14" s="50" t="s">
        <v>20</v>
      </c>
    </row>
    <row r="15" ht="17.25" customHeight="1">
      <c r="A15" s="79"/>
      <c r="B15" s="53">
        <v>1.0</v>
      </c>
      <c r="C15" s="54" t="s">
        <v>22</v>
      </c>
      <c r="D15" s="150" t="s">
        <v>23</v>
      </c>
      <c r="E15" s="27"/>
      <c r="F15" s="56"/>
      <c r="G15" s="57">
        <f t="shared" ref="G15:G18" si="2">SUM(E15:F15)</f>
        <v>0</v>
      </c>
      <c r="H15" s="57"/>
      <c r="I15" s="57"/>
      <c r="J15" s="57">
        <f t="shared" ref="J15:J18" si="3">SUM(H15:I15)</f>
        <v>0</v>
      </c>
      <c r="K15" s="57"/>
      <c r="L15" s="58"/>
      <c r="M15" s="57">
        <f t="shared" ref="M15:M28" si="4">SUM(K15:L15)</f>
        <v>0</v>
      </c>
      <c r="N15" s="57">
        <f t="shared" ref="N15:P15" si="1">SUM(E15,H15,K15)</f>
        <v>0</v>
      </c>
      <c r="O15" s="57">
        <f t="shared" si="1"/>
        <v>0</v>
      </c>
      <c r="P15" s="59">
        <f t="shared" si="1"/>
        <v>0</v>
      </c>
    </row>
    <row r="16" ht="17.25" customHeight="1">
      <c r="A16" s="79"/>
      <c r="B16" s="53">
        <v>2.0</v>
      </c>
      <c r="C16" s="54" t="s">
        <v>24</v>
      </c>
      <c r="D16" s="150" t="s">
        <v>23</v>
      </c>
      <c r="E16" s="27"/>
      <c r="F16" s="56"/>
      <c r="G16" s="57">
        <f t="shared" si="2"/>
        <v>0</v>
      </c>
      <c r="H16" s="57"/>
      <c r="I16" s="65"/>
      <c r="J16" s="57">
        <f t="shared" si="3"/>
        <v>0</v>
      </c>
      <c r="K16" s="64"/>
      <c r="L16" s="66"/>
      <c r="M16" s="57">
        <f t="shared" si="4"/>
        <v>0</v>
      </c>
      <c r="N16" s="57">
        <f t="shared" ref="N16:P16" si="5">SUM(E16,H16,K16)</f>
        <v>0</v>
      </c>
      <c r="O16" s="57">
        <f t="shared" si="5"/>
        <v>0</v>
      </c>
      <c r="P16" s="59">
        <f t="shared" si="5"/>
        <v>0</v>
      </c>
    </row>
    <row r="17" ht="17.25" customHeight="1">
      <c r="A17" s="79"/>
      <c r="B17" s="53">
        <v>3.0</v>
      </c>
      <c r="C17" s="54" t="s">
        <v>25</v>
      </c>
      <c r="D17" s="166"/>
      <c r="E17" s="77">
        <v>239.0</v>
      </c>
      <c r="F17" s="77">
        <v>270.0</v>
      </c>
      <c r="G17" s="57">
        <f t="shared" si="2"/>
        <v>509</v>
      </c>
      <c r="H17" s="57"/>
      <c r="I17" s="57"/>
      <c r="J17" s="57">
        <f t="shared" si="3"/>
        <v>0</v>
      </c>
      <c r="K17" s="70"/>
      <c r="L17" s="58"/>
      <c r="M17" s="57">
        <f t="shared" si="4"/>
        <v>0</v>
      </c>
      <c r="N17" s="57">
        <f t="shared" ref="N17:P17" si="6">SUM(E17,H17,K17)</f>
        <v>239</v>
      </c>
      <c r="O17" s="57">
        <f t="shared" si="6"/>
        <v>270</v>
      </c>
      <c r="P17" s="59">
        <f t="shared" si="6"/>
        <v>509</v>
      </c>
    </row>
    <row r="18" ht="17.25" customHeight="1">
      <c r="A18" s="79"/>
      <c r="B18" s="53">
        <v>4.0</v>
      </c>
      <c r="C18" s="54" t="s">
        <v>26</v>
      </c>
      <c r="D18" s="57"/>
      <c r="E18" s="57">
        <v>503.0</v>
      </c>
      <c r="F18" s="57">
        <v>448.0</v>
      </c>
      <c r="G18" s="57">
        <f t="shared" si="2"/>
        <v>951</v>
      </c>
      <c r="H18" s="57">
        <v>10.0</v>
      </c>
      <c r="I18" s="57">
        <v>12.0</v>
      </c>
      <c r="J18" s="57">
        <f t="shared" si="3"/>
        <v>22</v>
      </c>
      <c r="K18" s="70"/>
      <c r="L18" s="58"/>
      <c r="M18" s="57">
        <f t="shared" si="4"/>
        <v>0</v>
      </c>
      <c r="N18" s="57">
        <f t="shared" ref="N18:P18" si="7">SUM(E18,H18,K18)</f>
        <v>513</v>
      </c>
      <c r="O18" s="57">
        <f t="shared" si="7"/>
        <v>460</v>
      </c>
      <c r="P18" s="59">
        <f t="shared" si="7"/>
        <v>973</v>
      </c>
    </row>
    <row r="19" ht="17.25" customHeight="1">
      <c r="A19" s="79"/>
      <c r="B19" s="53">
        <v>5.0</v>
      </c>
      <c r="C19" s="54" t="s">
        <v>27</v>
      </c>
      <c r="D19" s="167"/>
      <c r="E19" s="57">
        <v>455.0</v>
      </c>
      <c r="F19" s="57">
        <v>449.0</v>
      </c>
      <c r="G19" s="57">
        <v>904.0</v>
      </c>
      <c r="H19" s="57"/>
      <c r="I19" s="57"/>
      <c r="J19" s="57">
        <v>0.0</v>
      </c>
      <c r="K19" s="70"/>
      <c r="L19" s="58"/>
      <c r="M19" s="57">
        <f t="shared" si="4"/>
        <v>0</v>
      </c>
      <c r="N19" s="57">
        <f t="shared" ref="N19:P19" si="8">SUM(E19,H19,K19)</f>
        <v>455</v>
      </c>
      <c r="O19" s="57">
        <f t="shared" si="8"/>
        <v>449</v>
      </c>
      <c r="P19" s="59">
        <f t="shared" si="8"/>
        <v>904</v>
      </c>
    </row>
    <row r="20" ht="17.25" customHeight="1">
      <c r="A20" s="79"/>
      <c r="B20" s="53">
        <v>6.0</v>
      </c>
      <c r="C20" s="54" t="s">
        <v>28</v>
      </c>
      <c r="D20" s="150" t="s">
        <v>23</v>
      </c>
      <c r="E20" s="27"/>
      <c r="F20" s="56"/>
      <c r="G20" s="57">
        <f t="shared" ref="G20:G23" si="10">SUM(E20:F20)</f>
        <v>0</v>
      </c>
      <c r="H20" s="57"/>
      <c r="I20" s="57"/>
      <c r="J20" s="57">
        <f t="shared" ref="J20:J28" si="11">SUM(H20:I20)</f>
        <v>0</v>
      </c>
      <c r="K20" s="70"/>
      <c r="L20" s="58"/>
      <c r="M20" s="57">
        <f t="shared" si="4"/>
        <v>0</v>
      </c>
      <c r="N20" s="57">
        <f t="shared" ref="N20:P20" si="9">SUM(E20,H20,K20)</f>
        <v>0</v>
      </c>
      <c r="O20" s="57">
        <f t="shared" si="9"/>
        <v>0</v>
      </c>
      <c r="P20" s="59">
        <f t="shared" si="9"/>
        <v>0</v>
      </c>
    </row>
    <row r="21" ht="17.25" customHeight="1">
      <c r="A21" s="79"/>
      <c r="B21" s="53">
        <v>7.0</v>
      </c>
      <c r="C21" s="54" t="s">
        <v>29</v>
      </c>
      <c r="D21" s="150" t="s">
        <v>23</v>
      </c>
      <c r="E21" s="27"/>
      <c r="F21" s="56"/>
      <c r="G21" s="57">
        <f t="shared" si="10"/>
        <v>0</v>
      </c>
      <c r="H21" s="57"/>
      <c r="I21" s="57"/>
      <c r="J21" s="57">
        <f t="shared" si="11"/>
        <v>0</v>
      </c>
      <c r="K21" s="70"/>
      <c r="L21" s="58"/>
      <c r="M21" s="57">
        <f t="shared" si="4"/>
        <v>0</v>
      </c>
      <c r="N21" s="57">
        <f t="shared" ref="N21:P21" si="12">SUM(E21,H21,K21)</f>
        <v>0</v>
      </c>
      <c r="O21" s="57">
        <f t="shared" si="12"/>
        <v>0</v>
      </c>
      <c r="P21" s="59">
        <f t="shared" si="12"/>
        <v>0</v>
      </c>
    </row>
    <row r="22" ht="17.25" customHeight="1">
      <c r="A22" s="79"/>
      <c r="B22" s="53">
        <v>8.0</v>
      </c>
      <c r="C22" s="54" t="s">
        <v>30</v>
      </c>
      <c r="D22" s="136"/>
      <c r="E22" s="168">
        <v>1407.0</v>
      </c>
      <c r="F22" s="80">
        <v>1454.0</v>
      </c>
      <c r="G22" s="57">
        <f t="shared" si="10"/>
        <v>2861</v>
      </c>
      <c r="H22" s="57"/>
      <c r="I22" s="57"/>
      <c r="J22" s="57">
        <f t="shared" si="11"/>
        <v>0</v>
      </c>
      <c r="K22" s="70"/>
      <c r="L22" s="58"/>
      <c r="M22" s="57">
        <f t="shared" si="4"/>
        <v>0</v>
      </c>
      <c r="N22" s="57">
        <f t="shared" ref="N22:P22" si="13">SUM(E22,H22,K22)</f>
        <v>1407</v>
      </c>
      <c r="O22" s="57">
        <f t="shared" si="13"/>
        <v>1454</v>
      </c>
      <c r="P22" s="59">
        <f t="shared" si="13"/>
        <v>2861</v>
      </c>
    </row>
    <row r="23" ht="17.25" customHeight="1">
      <c r="A23" s="79"/>
      <c r="B23" s="53">
        <v>9.0</v>
      </c>
      <c r="C23" s="54" t="s">
        <v>31</v>
      </c>
      <c r="D23" s="150" t="s">
        <v>23</v>
      </c>
      <c r="E23" s="27"/>
      <c r="F23" s="56"/>
      <c r="G23" s="57">
        <f t="shared" si="10"/>
        <v>0</v>
      </c>
      <c r="H23" s="57"/>
      <c r="I23" s="57"/>
      <c r="J23" s="57">
        <f t="shared" si="11"/>
        <v>0</v>
      </c>
      <c r="K23" s="70"/>
      <c r="L23" s="58"/>
      <c r="M23" s="57">
        <f t="shared" si="4"/>
        <v>0</v>
      </c>
      <c r="N23" s="57">
        <f t="shared" ref="N23:P23" si="14">SUM(E23,H23,K23)</f>
        <v>0</v>
      </c>
      <c r="O23" s="57">
        <f t="shared" si="14"/>
        <v>0</v>
      </c>
      <c r="P23" s="59">
        <f t="shared" si="14"/>
        <v>0</v>
      </c>
    </row>
    <row r="24" ht="17.25" customHeight="1">
      <c r="A24" s="79"/>
      <c r="B24" s="53">
        <v>10.0</v>
      </c>
      <c r="C24" s="54" t="s">
        <v>32</v>
      </c>
      <c r="D24" s="159"/>
      <c r="E24" s="159"/>
      <c r="F24" s="159"/>
      <c r="G24" s="57">
        <v>235.0</v>
      </c>
      <c r="H24" s="57"/>
      <c r="I24" s="57"/>
      <c r="J24" s="57">
        <f t="shared" si="11"/>
        <v>0</v>
      </c>
      <c r="K24" s="70"/>
      <c r="L24" s="58"/>
      <c r="M24" s="57">
        <f t="shared" si="4"/>
        <v>0</v>
      </c>
      <c r="N24" s="57">
        <f t="shared" ref="N24:P24" si="15">SUM(E24,H24,K24)</f>
        <v>0</v>
      </c>
      <c r="O24" s="57">
        <f t="shared" si="15"/>
        <v>0</v>
      </c>
      <c r="P24" s="59">
        <f t="shared" si="15"/>
        <v>235</v>
      </c>
    </row>
    <row r="25" ht="17.25" customHeight="1">
      <c r="A25" s="79"/>
      <c r="B25" s="53">
        <v>11.0</v>
      </c>
      <c r="C25" s="54" t="s">
        <v>65</v>
      </c>
      <c r="D25" s="159"/>
      <c r="E25" s="159">
        <v>67.0</v>
      </c>
      <c r="F25" s="159">
        <v>80.0</v>
      </c>
      <c r="G25" s="57">
        <f t="shared" ref="G25:G28" si="17">SUM(E25:F25)</f>
        <v>147</v>
      </c>
      <c r="H25" s="57"/>
      <c r="I25" s="57"/>
      <c r="J25" s="57">
        <f t="shared" si="11"/>
        <v>0</v>
      </c>
      <c r="K25" s="70"/>
      <c r="L25" s="58"/>
      <c r="M25" s="57">
        <f t="shared" si="4"/>
        <v>0</v>
      </c>
      <c r="N25" s="57">
        <f t="shared" ref="N25:P25" si="16">SUM(E25,H25,K25)</f>
        <v>67</v>
      </c>
      <c r="O25" s="57">
        <f t="shared" si="16"/>
        <v>80</v>
      </c>
      <c r="P25" s="59">
        <f t="shared" si="16"/>
        <v>147</v>
      </c>
    </row>
    <row r="26" ht="17.25" customHeight="1">
      <c r="A26" s="79"/>
      <c r="B26" s="53">
        <v>12.0</v>
      </c>
      <c r="C26" s="54" t="s">
        <v>66</v>
      </c>
      <c r="D26" s="57"/>
      <c r="E26" s="57">
        <v>192.0</v>
      </c>
      <c r="F26" s="57">
        <v>174.0</v>
      </c>
      <c r="G26" s="57">
        <f t="shared" si="17"/>
        <v>366</v>
      </c>
      <c r="H26" s="57"/>
      <c r="I26" s="57"/>
      <c r="J26" s="57">
        <f t="shared" si="11"/>
        <v>0</v>
      </c>
      <c r="K26" s="70"/>
      <c r="L26" s="58"/>
      <c r="M26" s="57">
        <f t="shared" si="4"/>
        <v>0</v>
      </c>
      <c r="N26" s="57">
        <f t="shared" ref="N26:P26" si="18">SUM(E26,H26,K26)</f>
        <v>192</v>
      </c>
      <c r="O26" s="57">
        <f t="shared" si="18"/>
        <v>174</v>
      </c>
      <c r="P26" s="59">
        <f t="shared" si="18"/>
        <v>366</v>
      </c>
    </row>
    <row r="27" ht="17.25" customHeight="1">
      <c r="A27" s="79"/>
      <c r="B27" s="53">
        <v>13.0</v>
      </c>
      <c r="C27" s="54" t="s">
        <v>35</v>
      </c>
      <c r="D27" s="57"/>
      <c r="E27" s="57">
        <v>326.0</v>
      </c>
      <c r="F27" s="57">
        <v>371.0</v>
      </c>
      <c r="G27" s="57">
        <f t="shared" si="17"/>
        <v>697</v>
      </c>
      <c r="H27" s="57"/>
      <c r="I27" s="57"/>
      <c r="J27" s="57">
        <f t="shared" si="11"/>
        <v>0</v>
      </c>
      <c r="K27" s="70"/>
      <c r="L27" s="58"/>
      <c r="M27" s="57">
        <f t="shared" si="4"/>
        <v>0</v>
      </c>
      <c r="N27" s="57">
        <f t="shared" ref="N27:P27" si="19">SUM(E27,H27,K27)</f>
        <v>326</v>
      </c>
      <c r="O27" s="57">
        <f t="shared" si="19"/>
        <v>371</v>
      </c>
      <c r="P27" s="59">
        <f t="shared" si="19"/>
        <v>697</v>
      </c>
    </row>
    <row r="28" ht="17.25" customHeight="1">
      <c r="A28" s="79"/>
      <c r="B28" s="53">
        <v>14.0</v>
      </c>
      <c r="C28" s="54" t="s">
        <v>36</v>
      </c>
      <c r="D28" s="57"/>
      <c r="E28" s="57">
        <v>27.0</v>
      </c>
      <c r="F28" s="57">
        <v>48.0</v>
      </c>
      <c r="G28" s="57">
        <f t="shared" si="17"/>
        <v>75</v>
      </c>
      <c r="H28" s="57"/>
      <c r="I28" s="57"/>
      <c r="J28" s="57">
        <f t="shared" si="11"/>
        <v>0</v>
      </c>
      <c r="K28" s="70"/>
      <c r="L28" s="58"/>
      <c r="M28" s="57">
        <f t="shared" si="4"/>
        <v>0</v>
      </c>
      <c r="N28" s="57">
        <f t="shared" ref="N28:P28" si="20">SUM(E28,H28,K28)</f>
        <v>27</v>
      </c>
      <c r="O28" s="57">
        <f t="shared" si="20"/>
        <v>48</v>
      </c>
      <c r="P28" s="59">
        <f t="shared" si="20"/>
        <v>75</v>
      </c>
    </row>
    <row r="29" ht="17.25" customHeight="1">
      <c r="A29" s="79"/>
      <c r="B29" s="53"/>
      <c r="C29" s="54"/>
      <c r="D29" s="57"/>
      <c r="E29" s="57"/>
      <c r="F29" s="57"/>
      <c r="G29" s="57"/>
      <c r="H29" s="57"/>
      <c r="I29" s="57"/>
      <c r="J29" s="82"/>
      <c r="K29" s="70"/>
      <c r="L29" s="53"/>
      <c r="M29" s="57"/>
      <c r="N29" s="57"/>
      <c r="O29" s="57"/>
      <c r="P29" s="59"/>
    </row>
    <row r="30" ht="17.25" customHeight="1">
      <c r="A30" s="79"/>
      <c r="B30" s="89"/>
      <c r="C30" s="84" t="s">
        <v>37</v>
      </c>
      <c r="D30" s="87"/>
      <c r="E30" s="87"/>
      <c r="F30" s="87"/>
      <c r="G30" s="87"/>
      <c r="H30" s="87"/>
      <c r="I30" s="87"/>
      <c r="J30" s="88"/>
      <c r="K30" s="86"/>
      <c r="L30" s="89"/>
      <c r="M30" s="87"/>
      <c r="N30" s="87"/>
      <c r="O30" s="87"/>
      <c r="P30" s="87"/>
    </row>
    <row r="31" ht="17.25" customHeight="1">
      <c r="A31" s="79"/>
      <c r="B31" s="53">
        <v>1.0</v>
      </c>
      <c r="C31" s="169" t="s">
        <v>38</v>
      </c>
      <c r="D31" s="150" t="s">
        <v>23</v>
      </c>
      <c r="E31" s="27"/>
      <c r="F31" s="56"/>
      <c r="G31" s="91">
        <f>SUM(E31:F31)</f>
        <v>0</v>
      </c>
      <c r="H31" s="57"/>
      <c r="I31" s="57"/>
      <c r="J31" s="91">
        <f t="shared" ref="J31:J35" si="22">SUM(H31:I31)</f>
        <v>0</v>
      </c>
      <c r="K31" s="80"/>
      <c r="L31" s="53"/>
      <c r="M31" s="57">
        <f t="shared" ref="M31:M35" si="23">SUM(K31:L31)</f>
        <v>0</v>
      </c>
      <c r="N31" s="91">
        <f t="shared" ref="N31:P31" si="21">SUM(E31,H31,K31)</f>
        <v>0</v>
      </c>
      <c r="O31" s="57">
        <f t="shared" si="21"/>
        <v>0</v>
      </c>
      <c r="P31" s="59">
        <f t="shared" si="21"/>
        <v>0</v>
      </c>
    </row>
    <row r="32" ht="17.25" customHeight="1">
      <c r="A32" s="79"/>
      <c r="B32" s="53">
        <v>2.0</v>
      </c>
      <c r="C32" s="170" t="s">
        <v>39</v>
      </c>
      <c r="D32" s="98"/>
      <c r="E32" s="95"/>
      <c r="F32" s="95"/>
      <c r="G32" s="95">
        <v>15476.0</v>
      </c>
      <c r="H32" s="98"/>
      <c r="I32" s="98"/>
      <c r="J32" s="98">
        <f t="shared" si="22"/>
        <v>0</v>
      </c>
      <c r="K32" s="97"/>
      <c r="L32" s="99"/>
      <c r="M32" s="153">
        <f t="shared" si="23"/>
        <v>0</v>
      </c>
      <c r="N32" s="95">
        <f t="shared" ref="N32:P32" si="24">SUM(E32,H32,K32)</f>
        <v>0</v>
      </c>
      <c r="O32" s="95">
        <f t="shared" si="24"/>
        <v>0</v>
      </c>
      <c r="P32" s="100">
        <f t="shared" si="24"/>
        <v>15476</v>
      </c>
    </row>
    <row r="33" ht="17.25" customHeight="1">
      <c r="A33" s="79"/>
      <c r="B33" s="53">
        <v>3.0</v>
      </c>
      <c r="C33" s="169" t="s">
        <v>40</v>
      </c>
      <c r="D33" s="57"/>
      <c r="E33" s="103"/>
      <c r="F33" s="103"/>
      <c r="G33" s="103">
        <v>3780.0</v>
      </c>
      <c r="H33" s="57"/>
      <c r="I33" s="57"/>
      <c r="J33" s="82">
        <f t="shared" si="22"/>
        <v>0</v>
      </c>
      <c r="K33" s="70"/>
      <c r="L33" s="53"/>
      <c r="M33" s="57">
        <f t="shared" si="23"/>
        <v>0</v>
      </c>
      <c r="N33" s="103">
        <f t="shared" ref="N33:P33" si="25">SUM(E33,H33,K33)</f>
        <v>0</v>
      </c>
      <c r="O33" s="103">
        <f t="shared" si="25"/>
        <v>0</v>
      </c>
      <c r="P33" s="105">
        <f t="shared" si="25"/>
        <v>3780</v>
      </c>
    </row>
    <row r="34" ht="17.25" customHeight="1">
      <c r="A34" s="79"/>
      <c r="B34" s="53">
        <v>4.0</v>
      </c>
      <c r="C34" s="169" t="s">
        <v>41</v>
      </c>
      <c r="D34" s="57"/>
      <c r="E34" s="103"/>
      <c r="F34" s="103"/>
      <c r="G34" s="103">
        <v>11040.0</v>
      </c>
      <c r="H34" s="57"/>
      <c r="I34" s="57"/>
      <c r="J34" s="82">
        <f t="shared" si="22"/>
        <v>0</v>
      </c>
      <c r="K34" s="70"/>
      <c r="L34" s="53"/>
      <c r="M34" s="57">
        <f t="shared" si="23"/>
        <v>0</v>
      </c>
      <c r="N34" s="103">
        <f t="shared" ref="N34:P34" si="26">SUM(E34,H34,K34)</f>
        <v>0</v>
      </c>
      <c r="O34" s="103">
        <f t="shared" si="26"/>
        <v>0</v>
      </c>
      <c r="P34" s="105">
        <f t="shared" si="26"/>
        <v>11040</v>
      </c>
    </row>
    <row r="35" ht="17.25" customHeight="1">
      <c r="A35" s="79"/>
      <c r="B35" s="53">
        <v>5.0</v>
      </c>
      <c r="C35" s="169" t="s">
        <v>42</v>
      </c>
      <c r="D35" s="57"/>
      <c r="E35" s="57">
        <v>44.0</v>
      </c>
      <c r="F35" s="57">
        <v>63.0</v>
      </c>
      <c r="G35" s="57">
        <v>107.0</v>
      </c>
      <c r="H35" s="57"/>
      <c r="I35" s="57"/>
      <c r="J35" s="82">
        <f t="shared" si="22"/>
        <v>0</v>
      </c>
      <c r="K35" s="70"/>
      <c r="L35" s="53"/>
      <c r="M35" s="57">
        <f t="shared" si="23"/>
        <v>0</v>
      </c>
      <c r="N35" s="57">
        <f t="shared" ref="N35:P35" si="27">SUM(E35,H35,K35)</f>
        <v>44</v>
      </c>
      <c r="O35" s="57">
        <f t="shared" si="27"/>
        <v>63</v>
      </c>
      <c r="P35" s="59">
        <f t="shared" si="27"/>
        <v>107</v>
      </c>
    </row>
    <row r="36" ht="17.25" customHeight="1">
      <c r="A36" s="79"/>
      <c r="B36" s="53">
        <v>6.0</v>
      </c>
      <c r="C36" s="169" t="s">
        <v>71</v>
      </c>
      <c r="D36" s="57"/>
      <c r="E36" s="57"/>
      <c r="F36" s="57"/>
      <c r="G36" s="91">
        <v>2813.0</v>
      </c>
      <c r="H36" s="57"/>
      <c r="I36" s="57"/>
      <c r="J36" s="82"/>
      <c r="K36" s="70"/>
      <c r="L36" s="53"/>
      <c r="M36" s="82"/>
      <c r="N36" s="82"/>
      <c r="O36" s="82"/>
      <c r="P36" s="59">
        <f>SUM(G36,J36,M36)</f>
        <v>2813</v>
      </c>
    </row>
    <row r="37" ht="17.25" customHeight="1">
      <c r="A37" s="79"/>
      <c r="B37" s="53"/>
      <c r="C37" s="169" t="s">
        <v>44</v>
      </c>
      <c r="D37" s="57"/>
      <c r="E37" s="57"/>
      <c r="F37" s="57"/>
      <c r="G37" s="91">
        <f>SUM(E37:F37)</f>
        <v>0</v>
      </c>
      <c r="H37" s="57"/>
      <c r="I37" s="57"/>
      <c r="J37" s="110">
        <f>SUM(H37:I37)</f>
        <v>0</v>
      </c>
      <c r="K37" s="70"/>
      <c r="L37" s="53"/>
      <c r="M37" s="59">
        <f>SUM(K37:L37)</f>
        <v>0</v>
      </c>
      <c r="N37" s="111">
        <f t="shared" ref="N37:P37" si="28">SUM(E37,H37,K37)</f>
        <v>0</v>
      </c>
      <c r="O37" s="59">
        <f t="shared" si="28"/>
        <v>0</v>
      </c>
      <c r="P37" s="59">
        <f t="shared" si="28"/>
        <v>0</v>
      </c>
    </row>
    <row r="38" ht="24.0" customHeight="1">
      <c r="A38" s="1"/>
      <c r="B38" s="171" t="s">
        <v>45</v>
      </c>
      <c r="C38" s="44"/>
      <c r="D38" s="172"/>
      <c r="E38" s="116">
        <f t="shared" ref="E38:P38" si="29">SUM(E15:E37)</f>
        <v>3260</v>
      </c>
      <c r="F38" s="116">
        <f t="shared" si="29"/>
        <v>3357</v>
      </c>
      <c r="G38" s="116">
        <f t="shared" si="29"/>
        <v>39961</v>
      </c>
      <c r="H38" s="116">
        <f t="shared" si="29"/>
        <v>10</v>
      </c>
      <c r="I38" s="115">
        <f t="shared" si="29"/>
        <v>12</v>
      </c>
      <c r="J38" s="115">
        <f t="shared" si="29"/>
        <v>22</v>
      </c>
      <c r="K38" s="115">
        <f t="shared" si="29"/>
        <v>0</v>
      </c>
      <c r="L38" s="115">
        <f t="shared" si="29"/>
        <v>0</v>
      </c>
      <c r="M38" s="115">
        <f t="shared" si="29"/>
        <v>0</v>
      </c>
      <c r="N38" s="115">
        <f t="shared" si="29"/>
        <v>3270</v>
      </c>
      <c r="O38" s="115">
        <f t="shared" si="29"/>
        <v>3369</v>
      </c>
      <c r="P38" s="115">
        <f t="shared" si="29"/>
        <v>39983</v>
      </c>
    </row>
    <row r="39" ht="15.75" customHeight="1">
      <c r="A39" s="1"/>
      <c r="B39" s="117" t="s">
        <v>46</v>
      </c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</row>
    <row r="40" ht="21.0" customHeight="1">
      <c r="A40" s="1"/>
      <c r="B40" s="118" t="s">
        <v>47</v>
      </c>
      <c r="C40" s="27"/>
      <c r="D40" s="27"/>
      <c r="E40" s="27"/>
      <c r="F40" s="27"/>
      <c r="G40" s="27"/>
      <c r="H40" s="27"/>
      <c r="I40" s="27"/>
      <c r="J40" s="56"/>
      <c r="K40" s="119"/>
      <c r="L40" s="119"/>
      <c r="M40" s="119"/>
      <c r="N40" s="119"/>
      <c r="O40" s="119"/>
      <c r="P40" s="119"/>
    </row>
    <row r="41" ht="21.0" customHeight="1">
      <c r="A41" s="1"/>
      <c r="B41" s="120" t="s">
        <v>9</v>
      </c>
      <c r="C41" s="56"/>
      <c r="D41" s="121">
        <v>45778.0</v>
      </c>
      <c r="E41" s="27"/>
      <c r="F41" s="27"/>
      <c r="G41" s="27"/>
      <c r="H41" s="27"/>
      <c r="I41" s="27"/>
      <c r="J41" s="56"/>
      <c r="K41" s="1"/>
      <c r="L41" s="1"/>
      <c r="M41" s="1"/>
      <c r="N41" s="1"/>
      <c r="O41" s="1"/>
      <c r="P41" s="1"/>
    </row>
    <row r="42" ht="21.0" customHeight="1">
      <c r="A42" s="1"/>
      <c r="B42" s="122"/>
      <c r="C42" s="123" t="s">
        <v>12</v>
      </c>
      <c r="D42" s="124" t="s">
        <v>17</v>
      </c>
      <c r="E42" s="125" t="s">
        <v>78</v>
      </c>
      <c r="F42" s="125" t="s">
        <v>79</v>
      </c>
      <c r="G42" s="125" t="s">
        <v>80</v>
      </c>
      <c r="H42" s="126" t="s">
        <v>51</v>
      </c>
      <c r="I42" s="126" t="s">
        <v>52</v>
      </c>
      <c r="J42" s="126" t="s">
        <v>53</v>
      </c>
      <c r="K42" s="1"/>
      <c r="L42" s="1"/>
      <c r="M42" s="1"/>
      <c r="N42" s="1"/>
      <c r="O42" s="1"/>
      <c r="P42" s="1"/>
    </row>
    <row r="43" ht="26.25" customHeight="1">
      <c r="A43" s="1"/>
      <c r="B43" s="34"/>
      <c r="C43" s="34"/>
      <c r="D43" s="34"/>
      <c r="E43" s="34"/>
      <c r="F43" s="34"/>
      <c r="G43" s="34"/>
      <c r="H43" s="34"/>
      <c r="I43" s="34"/>
      <c r="J43" s="34"/>
      <c r="K43" s="1"/>
      <c r="L43" s="1"/>
      <c r="M43" s="1"/>
      <c r="N43" s="1"/>
      <c r="O43" s="1"/>
      <c r="P43" s="1"/>
    </row>
    <row r="44" ht="47.25" customHeight="1">
      <c r="A44" s="1"/>
      <c r="B44" s="46"/>
      <c r="C44" s="46"/>
      <c r="D44" s="46"/>
      <c r="E44" s="46"/>
      <c r="F44" s="46"/>
      <c r="G44" s="46"/>
      <c r="H44" s="46"/>
      <c r="I44" s="46"/>
      <c r="J44" s="46"/>
      <c r="K44" s="1"/>
      <c r="L44" s="1"/>
      <c r="M44" s="1"/>
      <c r="N44" s="1"/>
      <c r="O44" s="1"/>
      <c r="P44" s="1"/>
    </row>
    <row r="45" ht="21.0" customHeight="1">
      <c r="A45" s="1"/>
      <c r="B45" s="53">
        <v>1.0</v>
      </c>
      <c r="C45" s="127" t="s">
        <v>54</v>
      </c>
      <c r="D45" s="57"/>
      <c r="E45" s="57">
        <v>734.0</v>
      </c>
      <c r="F45" s="57">
        <v>734.0</v>
      </c>
      <c r="G45" s="57">
        <v>363.0</v>
      </c>
      <c r="H45" s="57"/>
      <c r="I45" s="57"/>
      <c r="J45" s="57"/>
      <c r="K45" s="1"/>
      <c r="L45" s="1"/>
      <c r="M45" s="1"/>
      <c r="N45" s="1"/>
      <c r="O45" s="1"/>
      <c r="P45" s="1"/>
    </row>
    <row r="46" ht="22.5" customHeight="1">
      <c r="A46" s="128"/>
      <c r="B46" s="129">
        <v>2.0</v>
      </c>
      <c r="C46" s="73" t="s">
        <v>27</v>
      </c>
      <c r="D46" s="130"/>
      <c r="E46" s="131">
        <v>54.0</v>
      </c>
      <c r="F46" s="131">
        <v>54.0</v>
      </c>
      <c r="G46" s="131">
        <v>26.0</v>
      </c>
      <c r="H46" s="131"/>
      <c r="I46" s="131"/>
      <c r="J46" s="131"/>
      <c r="K46" s="132"/>
      <c r="L46" s="132"/>
      <c r="M46" s="132"/>
      <c r="N46" s="132"/>
      <c r="O46" s="132"/>
      <c r="P46" s="132"/>
    </row>
    <row r="47" ht="21.0" customHeight="1">
      <c r="A47" s="1"/>
      <c r="B47" s="53">
        <v>3.0</v>
      </c>
      <c r="C47" s="133" t="s">
        <v>55</v>
      </c>
      <c r="D47" s="57"/>
      <c r="E47" s="134">
        <v>104.0</v>
      </c>
      <c r="F47" s="53">
        <v>104.0</v>
      </c>
      <c r="G47" s="53">
        <v>50.0</v>
      </c>
      <c r="H47" s="57"/>
      <c r="I47" s="57"/>
      <c r="J47" s="57"/>
      <c r="K47" s="1"/>
      <c r="L47" s="1"/>
      <c r="M47" s="1"/>
      <c r="N47" s="1"/>
      <c r="O47" s="1"/>
      <c r="P47" s="1"/>
    </row>
    <row r="48" ht="21.0" customHeight="1">
      <c r="A48" s="1"/>
      <c r="B48" s="53">
        <v>4.0</v>
      </c>
      <c r="C48" s="133" t="s">
        <v>56</v>
      </c>
      <c r="D48" s="57"/>
      <c r="E48" s="57">
        <v>326.0</v>
      </c>
      <c r="F48" s="57">
        <v>442.0</v>
      </c>
      <c r="G48" s="57">
        <v>272.0</v>
      </c>
      <c r="H48" s="57"/>
      <c r="I48" s="57"/>
      <c r="J48" s="57"/>
      <c r="K48" s="1"/>
      <c r="L48" s="1"/>
      <c r="M48" s="1"/>
      <c r="N48" s="1"/>
      <c r="O48" s="1"/>
      <c r="P48" s="1"/>
    </row>
    <row r="49" ht="21.0" customHeight="1">
      <c r="A49" s="1"/>
      <c r="B49" s="53">
        <v>5.0</v>
      </c>
      <c r="C49" s="127" t="s">
        <v>57</v>
      </c>
      <c r="D49" s="135"/>
      <c r="E49" s="53">
        <v>114.0</v>
      </c>
      <c r="F49" s="53">
        <v>114.0</v>
      </c>
      <c r="G49" s="53">
        <v>45.0</v>
      </c>
      <c r="H49" s="53"/>
      <c r="I49" s="53"/>
      <c r="J49" s="53"/>
      <c r="K49" s="1"/>
      <c r="L49" s="1"/>
      <c r="M49" s="1"/>
      <c r="N49" s="1"/>
      <c r="O49" s="1"/>
      <c r="P49" s="1"/>
    </row>
    <row r="50" ht="21.0" customHeight="1">
      <c r="A50" s="1"/>
      <c r="B50" s="53">
        <v>6.0</v>
      </c>
      <c r="C50" s="133" t="s">
        <v>58</v>
      </c>
      <c r="D50" s="57"/>
      <c r="E50" s="150" t="s">
        <v>23</v>
      </c>
      <c r="F50" s="27"/>
      <c r="G50" s="56"/>
      <c r="H50" s="57"/>
      <c r="I50" s="57"/>
      <c r="J50" s="57"/>
      <c r="K50" s="1"/>
      <c r="L50" s="1"/>
      <c r="M50" s="1"/>
      <c r="N50" s="1"/>
      <c r="O50" s="1"/>
      <c r="P50" s="1"/>
    </row>
    <row r="51" ht="21.0" customHeight="1">
      <c r="A51" s="1"/>
      <c r="B51" s="53">
        <v>7.0</v>
      </c>
      <c r="C51" s="137" t="s">
        <v>59</v>
      </c>
      <c r="D51" s="57"/>
      <c r="E51" s="150" t="s">
        <v>23</v>
      </c>
      <c r="F51" s="27"/>
      <c r="G51" s="56"/>
      <c r="H51" s="57"/>
      <c r="I51" s="57"/>
      <c r="J51" s="57"/>
      <c r="K51" s="1"/>
      <c r="L51" s="1"/>
      <c r="M51" s="1"/>
      <c r="N51" s="1"/>
      <c r="O51" s="1"/>
      <c r="P51" s="1"/>
    </row>
    <row r="52" ht="21.0" customHeight="1">
      <c r="A52" s="1"/>
      <c r="B52" s="53">
        <v>8.0</v>
      </c>
      <c r="C52" s="133" t="s">
        <v>60</v>
      </c>
      <c r="D52" s="57"/>
      <c r="E52" s="57">
        <v>54.0</v>
      </c>
      <c r="F52" s="57">
        <v>54.0</v>
      </c>
      <c r="G52" s="57">
        <v>27.0</v>
      </c>
      <c r="H52" s="57"/>
      <c r="I52" s="57"/>
      <c r="J52" s="57"/>
      <c r="K52" s="1"/>
      <c r="L52" s="1"/>
      <c r="M52" s="1"/>
      <c r="N52" s="1"/>
      <c r="O52" s="1"/>
      <c r="P52" s="1"/>
    </row>
    <row r="53" ht="21.0" customHeight="1">
      <c r="A53" s="1"/>
      <c r="B53" s="53">
        <v>9.0</v>
      </c>
      <c r="C53" s="133" t="s">
        <v>61</v>
      </c>
      <c r="D53" s="57"/>
      <c r="E53" s="57">
        <v>222.0</v>
      </c>
      <c r="F53" s="57">
        <v>203.0</v>
      </c>
      <c r="G53" s="57">
        <v>106.0</v>
      </c>
      <c r="H53" s="57"/>
      <c r="I53" s="57"/>
      <c r="J53" s="57"/>
      <c r="K53" s="1"/>
      <c r="L53" s="1"/>
      <c r="M53" s="1"/>
      <c r="N53" s="1"/>
      <c r="O53" s="1"/>
      <c r="P53" s="1"/>
    </row>
    <row r="54" ht="21.0" customHeight="1">
      <c r="A54" s="1"/>
      <c r="B54" s="138" t="s">
        <v>45</v>
      </c>
      <c r="C54" s="56"/>
      <c r="D54" s="139"/>
      <c r="E54" s="140">
        <f t="shared" ref="E54:G54" si="30">SUM(E45:E53)</f>
        <v>1608</v>
      </c>
      <c r="F54" s="140">
        <f t="shared" si="30"/>
        <v>1705</v>
      </c>
      <c r="G54" s="140">
        <f t="shared" si="30"/>
        <v>889</v>
      </c>
      <c r="H54" s="140"/>
      <c r="I54" s="140"/>
      <c r="J54" s="140"/>
      <c r="K54" s="1"/>
      <c r="L54" s="1"/>
      <c r="M54" s="1"/>
      <c r="N54" s="1"/>
      <c r="O54" s="1"/>
      <c r="P54" s="1"/>
    </row>
    <row r="55" ht="21.0" customHeight="1">
      <c r="A55" s="1"/>
      <c r="B55" s="117" t="s">
        <v>62</v>
      </c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</row>
    <row r="56" ht="15.0" customHeight="1">
      <c r="A56" s="1"/>
      <c r="B56" s="117" t="s">
        <v>63</v>
      </c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</row>
    <row r="57" ht="13.5" customHeight="1">
      <c r="A57" s="1"/>
      <c r="B57" s="117" t="s">
        <v>64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</row>
  </sheetData>
  <mergeCells count="33">
    <mergeCell ref="N11:P13"/>
    <mergeCell ref="K12:M13"/>
    <mergeCell ref="E13:G13"/>
    <mergeCell ref="H13:J13"/>
    <mergeCell ref="H4:I4"/>
    <mergeCell ref="B10:P10"/>
    <mergeCell ref="B11:C11"/>
    <mergeCell ref="E11:M11"/>
    <mergeCell ref="B12:B14"/>
    <mergeCell ref="C12:C14"/>
    <mergeCell ref="E12:J12"/>
    <mergeCell ref="D15:F15"/>
    <mergeCell ref="D16:F16"/>
    <mergeCell ref="D20:F20"/>
    <mergeCell ref="D21:F21"/>
    <mergeCell ref="D23:F23"/>
    <mergeCell ref="D31:F31"/>
    <mergeCell ref="B40:J40"/>
    <mergeCell ref="D41:J41"/>
    <mergeCell ref="G42:G44"/>
    <mergeCell ref="H42:H44"/>
    <mergeCell ref="I42:I44"/>
    <mergeCell ref="J42:J44"/>
    <mergeCell ref="E50:G50"/>
    <mergeCell ref="E51:G51"/>
    <mergeCell ref="B38:C38"/>
    <mergeCell ref="B41:C41"/>
    <mergeCell ref="B42:B44"/>
    <mergeCell ref="C42:C44"/>
    <mergeCell ref="D42:D44"/>
    <mergeCell ref="E42:E44"/>
    <mergeCell ref="F42:F44"/>
    <mergeCell ref="B54:C54"/>
  </mergeCells>
  <printOptions horizontalCentered="1"/>
  <pageMargins bottom="0.75" footer="0.0" header="0.0" left="0.25" right="0.25" top="0.75"/>
  <pageSetup fitToHeight="0" paperSize="14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 fitToPage="1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5.63"/>
    <col customWidth="1" min="3" max="3" width="32.38"/>
    <col customWidth="1" min="4" max="4" width="9.13"/>
    <col customWidth="1" min="5" max="14" width="7.63"/>
    <col customWidth="1" min="15" max="15" width="10.38"/>
    <col customWidth="1" min="16" max="16" width="10.75"/>
  </cols>
  <sheetData>
    <row r="1" ht="13.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 t="s">
        <v>1</v>
      </c>
    </row>
    <row r="2" ht="14.25" customHeight="1">
      <c r="A2" s="1"/>
      <c r="B2" s="3" t="s">
        <v>2</v>
      </c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8.25" customHeight="1">
      <c r="A3" s="1"/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5.75" customHeight="1">
      <c r="A4" s="1"/>
      <c r="B4" s="1"/>
      <c r="C4" s="1"/>
      <c r="D4" s="1"/>
      <c r="E4" s="1"/>
      <c r="F4" s="4" t="s">
        <v>3</v>
      </c>
      <c r="G4" s="4"/>
      <c r="H4" s="141">
        <v>45809.0</v>
      </c>
      <c r="I4" s="6"/>
      <c r="J4" s="7"/>
      <c r="K4" s="7"/>
      <c r="L4" s="7"/>
      <c r="M4" s="7"/>
      <c r="N4" s="7"/>
      <c r="O4" s="7"/>
      <c r="P4" s="8"/>
    </row>
    <row r="5" ht="15.75" customHeight="1">
      <c r="A5" s="1"/>
      <c r="B5" s="1"/>
      <c r="C5" s="1"/>
      <c r="D5" s="1"/>
      <c r="E5" s="1"/>
      <c r="F5" s="4" t="s">
        <v>4</v>
      </c>
      <c r="G5" s="4"/>
      <c r="H5" s="9" t="s">
        <v>5</v>
      </c>
      <c r="I5" s="9"/>
      <c r="J5" s="9"/>
      <c r="K5" s="9"/>
      <c r="L5" s="9"/>
      <c r="M5" s="9"/>
      <c r="N5" s="9"/>
      <c r="O5" s="9"/>
      <c r="P5" s="8"/>
    </row>
    <row r="6" ht="15.75" customHeight="1">
      <c r="A6" s="1"/>
      <c r="B6" s="1"/>
      <c r="C6" s="1"/>
      <c r="D6" s="1"/>
      <c r="E6" s="1"/>
      <c r="F6" s="4" t="s">
        <v>6</v>
      </c>
      <c r="G6" s="4"/>
      <c r="H6" s="7"/>
      <c r="I6" s="7"/>
      <c r="J6" s="7"/>
      <c r="K6" s="7"/>
      <c r="L6" s="7"/>
      <c r="M6" s="7"/>
      <c r="N6" s="7"/>
      <c r="O6" s="7"/>
      <c r="P6" s="8"/>
    </row>
    <row r="7" ht="15.75" customHeight="1">
      <c r="A7" s="1"/>
      <c r="B7" s="1"/>
      <c r="C7" s="1"/>
      <c r="D7" s="10"/>
      <c r="E7" s="10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ht="15.75" customHeight="1">
      <c r="A8" s="1"/>
      <c r="B8" s="1"/>
      <c r="C8" s="1"/>
      <c r="D8" s="4"/>
      <c r="E8" s="4" t="s">
        <v>7</v>
      </c>
      <c r="F8" s="11"/>
      <c r="G8" s="8"/>
      <c r="H8" s="10"/>
      <c r="I8" s="10"/>
      <c r="J8" s="10"/>
      <c r="K8" s="10"/>
      <c r="L8" s="10"/>
      <c r="M8" s="10"/>
      <c r="N8" s="10"/>
      <c r="O8" s="10"/>
      <c r="P8" s="1"/>
    </row>
    <row r="9" ht="17.25" customHeight="1">
      <c r="A9" s="1"/>
      <c r="B9" s="1"/>
      <c r="C9" s="1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ht="17.25" customHeight="1">
      <c r="A10" s="1"/>
      <c r="B10" s="12" t="s">
        <v>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ht="16.5" customHeight="1">
      <c r="A11" s="1"/>
      <c r="B11" s="14" t="s">
        <v>9</v>
      </c>
      <c r="C11" s="15"/>
      <c r="D11" s="16"/>
      <c r="E11" s="17" t="s">
        <v>10</v>
      </c>
      <c r="F11" s="18"/>
      <c r="G11" s="18"/>
      <c r="H11" s="18"/>
      <c r="I11" s="18"/>
      <c r="J11" s="18"/>
      <c r="K11" s="18"/>
      <c r="L11" s="18"/>
      <c r="M11" s="19"/>
      <c r="N11" s="20" t="s">
        <v>11</v>
      </c>
      <c r="O11" s="21"/>
      <c r="P11" s="22"/>
    </row>
    <row r="12" ht="15.0" customHeight="1">
      <c r="A12" s="1"/>
      <c r="B12" s="23"/>
      <c r="C12" s="24" t="s">
        <v>12</v>
      </c>
      <c r="D12" s="25"/>
      <c r="E12" s="26" t="s">
        <v>13</v>
      </c>
      <c r="F12" s="27"/>
      <c r="G12" s="27"/>
      <c r="H12" s="27"/>
      <c r="I12" s="27"/>
      <c r="J12" s="27"/>
      <c r="K12" s="28" t="s">
        <v>14</v>
      </c>
      <c r="L12" s="29"/>
      <c r="M12" s="30"/>
      <c r="N12" s="31"/>
      <c r="P12" s="32"/>
    </row>
    <row r="13" ht="28.5" customHeight="1">
      <c r="A13" s="1"/>
      <c r="B13" s="33"/>
      <c r="C13" s="34"/>
      <c r="D13" s="35"/>
      <c r="E13" s="36" t="s">
        <v>15</v>
      </c>
      <c r="F13" s="37"/>
      <c r="G13" s="38"/>
      <c r="H13" s="36" t="s">
        <v>16</v>
      </c>
      <c r="I13" s="37"/>
      <c r="J13" s="38"/>
      <c r="K13" s="39"/>
      <c r="L13" s="40"/>
      <c r="M13" s="41"/>
      <c r="N13" s="42"/>
      <c r="O13" s="43"/>
      <c r="P13" s="44"/>
    </row>
    <row r="14" ht="36.75" customHeight="1">
      <c r="A14" s="1"/>
      <c r="B14" s="45"/>
      <c r="C14" s="46"/>
      <c r="D14" s="47" t="s">
        <v>17</v>
      </c>
      <c r="E14" s="48" t="s">
        <v>18</v>
      </c>
      <c r="F14" s="49" t="s">
        <v>19</v>
      </c>
      <c r="G14" s="50" t="s">
        <v>20</v>
      </c>
      <c r="H14" s="48" t="s">
        <v>18</v>
      </c>
      <c r="I14" s="51" t="s">
        <v>19</v>
      </c>
      <c r="J14" s="50" t="s">
        <v>20</v>
      </c>
      <c r="K14" s="48" t="s">
        <v>21</v>
      </c>
      <c r="L14" s="51" t="s">
        <v>19</v>
      </c>
      <c r="M14" s="52" t="s">
        <v>20</v>
      </c>
      <c r="N14" s="50" t="s">
        <v>18</v>
      </c>
      <c r="O14" s="50" t="s">
        <v>19</v>
      </c>
      <c r="P14" s="50" t="s">
        <v>20</v>
      </c>
    </row>
    <row r="15" ht="17.25" customHeight="1">
      <c r="A15" s="1"/>
      <c r="B15" s="53">
        <v>1.0</v>
      </c>
      <c r="C15" s="54" t="s">
        <v>22</v>
      </c>
      <c r="D15" s="150" t="s">
        <v>23</v>
      </c>
      <c r="E15" s="27"/>
      <c r="F15" s="56"/>
      <c r="G15" s="57">
        <f t="shared" ref="G15:G18" si="2">SUM(E15:F15)</f>
        <v>0</v>
      </c>
      <c r="H15" s="57"/>
      <c r="I15" s="57"/>
      <c r="J15" s="57">
        <f t="shared" ref="J15:J18" si="3">SUM(H15:I15)</f>
        <v>0</v>
      </c>
      <c r="K15" s="57"/>
      <c r="L15" s="58"/>
      <c r="M15" s="57">
        <f t="shared" ref="M15:M28" si="4">SUM(K15:L15)</f>
        <v>0</v>
      </c>
      <c r="N15" s="57">
        <f t="shared" ref="N15:P15" si="1">SUM(E15,H15,K15)</f>
        <v>0</v>
      </c>
      <c r="O15" s="57">
        <f t="shared" si="1"/>
        <v>0</v>
      </c>
      <c r="P15" s="59">
        <f t="shared" si="1"/>
        <v>0</v>
      </c>
    </row>
    <row r="16" ht="17.25" customHeight="1">
      <c r="A16" s="1"/>
      <c r="B16" s="60">
        <v>2.0</v>
      </c>
      <c r="C16" s="61" t="s">
        <v>24</v>
      </c>
      <c r="D16" s="150" t="s">
        <v>23</v>
      </c>
      <c r="E16" s="27"/>
      <c r="F16" s="56"/>
      <c r="G16" s="57">
        <f t="shared" si="2"/>
        <v>0</v>
      </c>
      <c r="H16" s="64"/>
      <c r="I16" s="65"/>
      <c r="J16" s="57">
        <f t="shared" si="3"/>
        <v>0</v>
      </c>
      <c r="K16" s="64"/>
      <c r="L16" s="66"/>
      <c r="M16" s="57">
        <f t="shared" si="4"/>
        <v>0</v>
      </c>
      <c r="N16" s="57">
        <f t="shared" ref="N16:P16" si="5">SUM(E16,H16,K16)</f>
        <v>0</v>
      </c>
      <c r="O16" s="57">
        <f t="shared" si="5"/>
        <v>0</v>
      </c>
      <c r="P16" s="59">
        <f t="shared" si="5"/>
        <v>0</v>
      </c>
    </row>
    <row r="17" ht="17.25" customHeight="1">
      <c r="A17" s="1"/>
      <c r="B17" s="67">
        <v>3.0</v>
      </c>
      <c r="C17" s="54" t="s">
        <v>25</v>
      </c>
      <c r="D17" s="142"/>
      <c r="E17" s="151">
        <v>106.0</v>
      </c>
      <c r="F17" s="152">
        <v>113.0</v>
      </c>
      <c r="G17" s="77">
        <f t="shared" si="2"/>
        <v>219</v>
      </c>
      <c r="H17" s="70"/>
      <c r="I17" s="57"/>
      <c r="J17" s="57">
        <f t="shared" si="3"/>
        <v>0</v>
      </c>
      <c r="K17" s="70"/>
      <c r="L17" s="58"/>
      <c r="M17" s="57">
        <f t="shared" si="4"/>
        <v>0</v>
      </c>
      <c r="N17" s="57">
        <f t="shared" ref="N17:P17" si="6">SUM(E17,H17,K17)</f>
        <v>106</v>
      </c>
      <c r="O17" s="57">
        <f t="shared" si="6"/>
        <v>113</v>
      </c>
      <c r="P17" s="59">
        <f t="shared" si="6"/>
        <v>219</v>
      </c>
    </row>
    <row r="18" ht="17.25" customHeight="1">
      <c r="A18" s="1"/>
      <c r="B18" s="67">
        <v>4.0</v>
      </c>
      <c r="C18" s="54" t="s">
        <v>26</v>
      </c>
      <c r="D18" s="71"/>
      <c r="E18" s="72">
        <v>354.0</v>
      </c>
      <c r="F18" s="71">
        <v>360.0</v>
      </c>
      <c r="G18" s="57">
        <f t="shared" si="2"/>
        <v>714</v>
      </c>
      <c r="H18" s="70">
        <v>7.0</v>
      </c>
      <c r="I18" s="57">
        <v>10.0</v>
      </c>
      <c r="J18" s="57">
        <f t="shared" si="3"/>
        <v>17</v>
      </c>
      <c r="K18" s="70"/>
      <c r="L18" s="58"/>
      <c r="M18" s="57">
        <f t="shared" si="4"/>
        <v>0</v>
      </c>
      <c r="N18" s="57">
        <f t="shared" ref="N18:P18" si="7">SUM(E18,H18,K18)</f>
        <v>361</v>
      </c>
      <c r="O18" s="57">
        <f t="shared" si="7"/>
        <v>370</v>
      </c>
      <c r="P18" s="59">
        <f t="shared" si="7"/>
        <v>731</v>
      </c>
    </row>
    <row r="19" ht="17.25" customHeight="1">
      <c r="A19" s="1"/>
      <c r="B19" s="67">
        <v>5.0</v>
      </c>
      <c r="C19" s="73" t="s">
        <v>27</v>
      </c>
      <c r="D19" s="74"/>
      <c r="E19" s="70">
        <v>711.0</v>
      </c>
      <c r="F19" s="75">
        <v>712.0</v>
      </c>
      <c r="G19" s="57">
        <v>1423.0</v>
      </c>
      <c r="H19" s="70"/>
      <c r="I19" s="57"/>
      <c r="J19" s="57">
        <v>0.0</v>
      </c>
      <c r="K19" s="70"/>
      <c r="L19" s="58"/>
      <c r="M19" s="57">
        <f t="shared" si="4"/>
        <v>0</v>
      </c>
      <c r="N19" s="57">
        <f t="shared" ref="N19:P19" si="8">SUM(E19,H19,K19)</f>
        <v>711</v>
      </c>
      <c r="O19" s="57">
        <f t="shared" si="8"/>
        <v>712</v>
      </c>
      <c r="P19" s="59">
        <f t="shared" si="8"/>
        <v>1423</v>
      </c>
    </row>
    <row r="20" ht="17.25" customHeight="1">
      <c r="A20" s="1"/>
      <c r="B20" s="67">
        <v>6.0</v>
      </c>
      <c r="C20" s="54" t="s">
        <v>28</v>
      </c>
      <c r="D20" s="150" t="s">
        <v>23</v>
      </c>
      <c r="E20" s="27"/>
      <c r="F20" s="56"/>
      <c r="G20" s="57">
        <f t="shared" ref="G20:G21" si="10">SUM(E20:F20)</f>
        <v>0</v>
      </c>
      <c r="H20" s="70"/>
      <c r="I20" s="57"/>
      <c r="J20" s="57">
        <f t="shared" ref="J20:J28" si="11">SUM(H20:I20)</f>
        <v>0</v>
      </c>
      <c r="K20" s="70"/>
      <c r="L20" s="58"/>
      <c r="M20" s="57">
        <f t="shared" si="4"/>
        <v>0</v>
      </c>
      <c r="N20" s="57">
        <f t="shared" ref="N20:P20" si="9">SUM(E20,H20,K20)</f>
        <v>0</v>
      </c>
      <c r="O20" s="57">
        <f t="shared" si="9"/>
        <v>0</v>
      </c>
      <c r="P20" s="59">
        <f t="shared" si="9"/>
        <v>0</v>
      </c>
    </row>
    <row r="21" ht="17.25" customHeight="1">
      <c r="A21" s="1"/>
      <c r="B21" s="67">
        <v>7.0</v>
      </c>
      <c r="C21" s="54" t="s">
        <v>29</v>
      </c>
      <c r="D21" s="150" t="s">
        <v>23</v>
      </c>
      <c r="E21" s="27"/>
      <c r="F21" s="56"/>
      <c r="G21" s="57">
        <f t="shared" si="10"/>
        <v>0</v>
      </c>
      <c r="H21" s="70"/>
      <c r="I21" s="57"/>
      <c r="J21" s="57">
        <f t="shared" si="11"/>
        <v>0</v>
      </c>
      <c r="K21" s="70"/>
      <c r="L21" s="58"/>
      <c r="M21" s="57">
        <f t="shared" si="4"/>
        <v>0</v>
      </c>
      <c r="N21" s="57">
        <f t="shared" ref="N21:P21" si="12">SUM(E21,H21,K21)</f>
        <v>0</v>
      </c>
      <c r="O21" s="57">
        <f t="shared" si="12"/>
        <v>0</v>
      </c>
      <c r="P21" s="59">
        <f t="shared" si="12"/>
        <v>0</v>
      </c>
    </row>
    <row r="22" ht="17.25" customHeight="1">
      <c r="A22" s="1"/>
      <c r="B22" s="67">
        <v>8.0</v>
      </c>
      <c r="C22" s="54" t="s">
        <v>30</v>
      </c>
      <c r="D22" s="74"/>
      <c r="E22" s="70">
        <v>2128.0</v>
      </c>
      <c r="F22" s="75">
        <v>2027.0</v>
      </c>
      <c r="G22" s="57">
        <v>4155.0</v>
      </c>
      <c r="H22" s="70"/>
      <c r="I22" s="57"/>
      <c r="J22" s="57">
        <f t="shared" si="11"/>
        <v>0</v>
      </c>
      <c r="K22" s="70"/>
      <c r="L22" s="58"/>
      <c r="M22" s="57">
        <f t="shared" si="4"/>
        <v>0</v>
      </c>
      <c r="N22" s="57">
        <f t="shared" ref="N22:P22" si="13">SUM(E22,H22,K22)</f>
        <v>2128</v>
      </c>
      <c r="O22" s="57">
        <f t="shared" si="13"/>
        <v>2027</v>
      </c>
      <c r="P22" s="59">
        <f t="shared" si="13"/>
        <v>4155</v>
      </c>
    </row>
    <row r="23" ht="17.25" customHeight="1">
      <c r="A23" s="1"/>
      <c r="B23" s="67">
        <v>9.0</v>
      </c>
      <c r="C23" s="54" t="s">
        <v>31</v>
      </c>
      <c r="D23" s="150" t="s">
        <v>23</v>
      </c>
      <c r="E23" s="27"/>
      <c r="F23" s="56"/>
      <c r="G23" s="57">
        <f>SUM(E23:F23)</f>
        <v>0</v>
      </c>
      <c r="H23" s="70"/>
      <c r="I23" s="57"/>
      <c r="J23" s="57">
        <f t="shared" si="11"/>
        <v>0</v>
      </c>
      <c r="K23" s="70"/>
      <c r="L23" s="58"/>
      <c r="M23" s="57">
        <f t="shared" si="4"/>
        <v>0</v>
      </c>
      <c r="N23" s="57">
        <f t="shared" ref="N23:P23" si="14">SUM(E23,H23,K23)</f>
        <v>0</v>
      </c>
      <c r="O23" s="57">
        <f t="shared" si="14"/>
        <v>0</v>
      </c>
      <c r="P23" s="59">
        <f t="shared" si="14"/>
        <v>0</v>
      </c>
    </row>
    <row r="24" ht="17.25" customHeight="1">
      <c r="A24" s="1"/>
      <c r="B24" s="67">
        <v>10.0</v>
      </c>
      <c r="C24" s="146" t="s">
        <v>32</v>
      </c>
      <c r="D24" s="77"/>
      <c r="E24" s="77"/>
      <c r="F24" s="77"/>
      <c r="G24" s="57">
        <v>590.0</v>
      </c>
      <c r="H24" s="70"/>
      <c r="I24" s="57"/>
      <c r="J24" s="57">
        <f t="shared" si="11"/>
        <v>0</v>
      </c>
      <c r="K24" s="70"/>
      <c r="L24" s="58"/>
      <c r="M24" s="57">
        <f t="shared" si="4"/>
        <v>0</v>
      </c>
      <c r="N24" s="57">
        <f t="shared" ref="N24:P24" si="15">SUM(E24,H24,K24)</f>
        <v>0</v>
      </c>
      <c r="O24" s="57">
        <f t="shared" si="15"/>
        <v>0</v>
      </c>
      <c r="P24" s="59">
        <f t="shared" si="15"/>
        <v>590</v>
      </c>
    </row>
    <row r="25" ht="17.25" customHeight="1">
      <c r="A25" s="1"/>
      <c r="B25" s="67">
        <v>11.0</v>
      </c>
      <c r="C25" s="54" t="s">
        <v>65</v>
      </c>
      <c r="D25" s="159"/>
      <c r="E25" s="173">
        <v>139.0</v>
      </c>
      <c r="F25" s="174">
        <v>144.0</v>
      </c>
      <c r="G25" s="57">
        <f t="shared" ref="G25:G28" si="17">SUM(E25:F25)</f>
        <v>283</v>
      </c>
      <c r="H25" s="70"/>
      <c r="I25" s="57"/>
      <c r="J25" s="57">
        <f t="shared" si="11"/>
        <v>0</v>
      </c>
      <c r="K25" s="70"/>
      <c r="L25" s="58"/>
      <c r="M25" s="57">
        <f t="shared" si="4"/>
        <v>0</v>
      </c>
      <c r="N25" s="57">
        <f t="shared" ref="N25:P25" si="16">SUM(E25,H25,K25)</f>
        <v>139</v>
      </c>
      <c r="O25" s="57">
        <f t="shared" si="16"/>
        <v>144</v>
      </c>
      <c r="P25" s="59">
        <f t="shared" si="16"/>
        <v>283</v>
      </c>
    </row>
    <row r="26" ht="17.25" customHeight="1">
      <c r="A26" s="1"/>
      <c r="B26" s="67">
        <v>12.0</v>
      </c>
      <c r="C26" s="54" t="s">
        <v>66</v>
      </c>
      <c r="D26" s="71"/>
      <c r="E26" s="70">
        <v>151.0</v>
      </c>
      <c r="F26" s="75">
        <v>128.0</v>
      </c>
      <c r="G26" s="57">
        <f t="shared" si="17"/>
        <v>279</v>
      </c>
      <c r="H26" s="70"/>
      <c r="I26" s="57"/>
      <c r="J26" s="57">
        <f t="shared" si="11"/>
        <v>0</v>
      </c>
      <c r="K26" s="70"/>
      <c r="L26" s="58"/>
      <c r="M26" s="57">
        <f t="shared" si="4"/>
        <v>0</v>
      </c>
      <c r="N26" s="57">
        <f t="shared" ref="N26:P26" si="18">SUM(E26,H26,K26)</f>
        <v>151</v>
      </c>
      <c r="O26" s="57">
        <f t="shared" si="18"/>
        <v>128</v>
      </c>
      <c r="P26" s="59">
        <f t="shared" si="18"/>
        <v>279</v>
      </c>
    </row>
    <row r="27" ht="17.25" customHeight="1">
      <c r="A27" s="1"/>
      <c r="B27" s="67">
        <v>13.0</v>
      </c>
      <c r="C27" s="54" t="s">
        <v>35</v>
      </c>
      <c r="D27" s="74"/>
      <c r="E27" s="70">
        <v>500.0</v>
      </c>
      <c r="F27" s="57">
        <v>524.0</v>
      </c>
      <c r="G27" s="57">
        <f t="shared" si="17"/>
        <v>1024</v>
      </c>
      <c r="H27" s="70"/>
      <c r="I27" s="57">
        <v>20.0</v>
      </c>
      <c r="J27" s="57">
        <f t="shared" si="11"/>
        <v>20</v>
      </c>
      <c r="K27" s="70"/>
      <c r="L27" s="58"/>
      <c r="M27" s="57">
        <f t="shared" si="4"/>
        <v>0</v>
      </c>
      <c r="N27" s="57">
        <f t="shared" ref="N27:P27" si="19">SUM(E27,H27,K27)</f>
        <v>500</v>
      </c>
      <c r="O27" s="57">
        <f t="shared" si="19"/>
        <v>544</v>
      </c>
      <c r="P27" s="59">
        <f t="shared" si="19"/>
        <v>1044</v>
      </c>
    </row>
    <row r="28" ht="17.25" customHeight="1">
      <c r="A28" s="1"/>
      <c r="B28" s="67">
        <v>14.0</v>
      </c>
      <c r="C28" s="54" t="s">
        <v>36</v>
      </c>
      <c r="D28" s="75"/>
      <c r="E28" s="70">
        <v>19.0</v>
      </c>
      <c r="F28" s="57">
        <v>9.0</v>
      </c>
      <c r="G28" s="57">
        <f t="shared" si="17"/>
        <v>28</v>
      </c>
      <c r="H28" s="70"/>
      <c r="I28" s="57"/>
      <c r="J28" s="57">
        <f t="shared" si="11"/>
        <v>0</v>
      </c>
      <c r="K28" s="70"/>
      <c r="L28" s="58"/>
      <c r="M28" s="57">
        <f t="shared" si="4"/>
        <v>0</v>
      </c>
      <c r="N28" s="57">
        <f t="shared" ref="N28:P28" si="20">SUM(E28,H28,K28)</f>
        <v>19</v>
      </c>
      <c r="O28" s="57">
        <f t="shared" si="20"/>
        <v>9</v>
      </c>
      <c r="P28" s="59">
        <f t="shared" si="20"/>
        <v>28</v>
      </c>
    </row>
    <row r="29" ht="17.25" customHeight="1">
      <c r="A29" s="1"/>
      <c r="B29" s="67"/>
      <c r="C29" s="54"/>
      <c r="D29" s="75"/>
      <c r="E29" s="70"/>
      <c r="F29" s="57"/>
      <c r="G29" s="82"/>
      <c r="H29" s="70"/>
      <c r="I29" s="57"/>
      <c r="J29" s="82"/>
      <c r="K29" s="70"/>
      <c r="L29" s="53"/>
      <c r="M29" s="57"/>
      <c r="N29" s="57"/>
      <c r="O29" s="57"/>
      <c r="P29" s="59"/>
    </row>
    <row r="30" ht="17.25" customHeight="1">
      <c r="A30" s="1"/>
      <c r="B30" s="83"/>
      <c r="C30" s="84" t="s">
        <v>37</v>
      </c>
      <c r="D30" s="85"/>
      <c r="E30" s="86"/>
      <c r="F30" s="87"/>
      <c r="G30" s="88"/>
      <c r="H30" s="86"/>
      <c r="I30" s="87"/>
      <c r="J30" s="88"/>
      <c r="K30" s="86"/>
      <c r="L30" s="89"/>
      <c r="M30" s="87"/>
      <c r="N30" s="87"/>
      <c r="O30" s="87"/>
      <c r="P30" s="87"/>
    </row>
    <row r="31" ht="17.25" customHeight="1">
      <c r="A31" s="1"/>
      <c r="B31" s="67">
        <v>1.0</v>
      </c>
      <c r="C31" s="90" t="s">
        <v>38</v>
      </c>
      <c r="D31" s="75"/>
      <c r="E31" s="70"/>
      <c r="F31" s="57"/>
      <c r="G31" s="91">
        <f>SUM(E31:F31)</f>
        <v>0</v>
      </c>
      <c r="H31" s="80"/>
      <c r="I31" s="57"/>
      <c r="J31" s="91">
        <f t="shared" ref="J31:J35" si="22">SUM(H31:I31)</f>
        <v>0</v>
      </c>
      <c r="K31" s="80"/>
      <c r="L31" s="53"/>
      <c r="M31" s="57">
        <f t="shared" ref="M31:M35" si="23">SUM(K31:L31)</f>
        <v>0</v>
      </c>
      <c r="N31" s="91">
        <f t="shared" ref="N31:P31" si="21">SUM(E31,H31,K31)</f>
        <v>0</v>
      </c>
      <c r="O31" s="57">
        <f t="shared" si="21"/>
        <v>0</v>
      </c>
      <c r="P31" s="59">
        <f t="shared" si="21"/>
        <v>0</v>
      </c>
    </row>
    <row r="32" ht="17.25" customHeight="1">
      <c r="A32" s="1"/>
      <c r="B32" s="67">
        <v>2.0</v>
      </c>
      <c r="C32" s="92" t="s">
        <v>39</v>
      </c>
      <c r="D32" s="93"/>
      <c r="E32" s="94"/>
      <c r="F32" s="95"/>
      <c r="G32" s="95">
        <v>20154.0</v>
      </c>
      <c r="H32" s="97"/>
      <c r="I32" s="98"/>
      <c r="J32" s="98">
        <f t="shared" si="22"/>
        <v>0</v>
      </c>
      <c r="K32" s="97"/>
      <c r="L32" s="99"/>
      <c r="M32" s="153">
        <f t="shared" si="23"/>
        <v>0</v>
      </c>
      <c r="N32" s="95">
        <f t="shared" ref="N32:P32" si="24">SUM(E32,H32,K32)</f>
        <v>0</v>
      </c>
      <c r="O32" s="95">
        <f t="shared" si="24"/>
        <v>0</v>
      </c>
      <c r="P32" s="100">
        <f t="shared" si="24"/>
        <v>20154</v>
      </c>
    </row>
    <row r="33" ht="17.25" customHeight="1">
      <c r="A33" s="1"/>
      <c r="B33" s="67">
        <v>3.0</v>
      </c>
      <c r="C33" s="101" t="s">
        <v>40</v>
      </c>
      <c r="D33" s="75"/>
      <c r="E33" s="102"/>
      <c r="F33" s="103"/>
      <c r="G33" s="103">
        <v>3720.0</v>
      </c>
      <c r="H33" s="80"/>
      <c r="I33" s="57"/>
      <c r="J33" s="82">
        <f t="shared" si="22"/>
        <v>0</v>
      </c>
      <c r="K33" s="70"/>
      <c r="L33" s="53"/>
      <c r="M33" s="57">
        <f t="shared" si="23"/>
        <v>0</v>
      </c>
      <c r="N33" s="103">
        <f t="shared" ref="N33:P33" si="25">SUM(E33,H33,K33)</f>
        <v>0</v>
      </c>
      <c r="O33" s="103">
        <f t="shared" si="25"/>
        <v>0</v>
      </c>
      <c r="P33" s="105">
        <f t="shared" si="25"/>
        <v>3720</v>
      </c>
    </row>
    <row r="34" ht="17.25" customHeight="1">
      <c r="A34" s="1"/>
      <c r="B34" s="67">
        <v>4.0</v>
      </c>
      <c r="C34" s="106" t="s">
        <v>41</v>
      </c>
      <c r="D34" s="75"/>
      <c r="E34" s="102"/>
      <c r="F34" s="103"/>
      <c r="G34" s="103">
        <v>12030.0</v>
      </c>
      <c r="H34" s="80"/>
      <c r="I34" s="57"/>
      <c r="J34" s="82">
        <f t="shared" si="22"/>
        <v>0</v>
      </c>
      <c r="K34" s="70"/>
      <c r="L34" s="53"/>
      <c r="M34" s="57">
        <f t="shared" si="23"/>
        <v>0</v>
      </c>
      <c r="N34" s="103">
        <f t="shared" ref="N34:P34" si="26">SUM(E34,H34,K34)</f>
        <v>0</v>
      </c>
      <c r="O34" s="103">
        <f t="shared" si="26"/>
        <v>0</v>
      </c>
      <c r="P34" s="105">
        <f t="shared" si="26"/>
        <v>12030</v>
      </c>
    </row>
    <row r="35" ht="17.25" customHeight="1">
      <c r="A35" s="1"/>
      <c r="B35" s="67">
        <v>5.0</v>
      </c>
      <c r="C35" s="106" t="s">
        <v>42</v>
      </c>
      <c r="D35" s="75"/>
      <c r="E35" s="70">
        <v>64.0</v>
      </c>
      <c r="F35" s="57">
        <v>78.0</v>
      </c>
      <c r="G35" s="57">
        <v>142.0</v>
      </c>
      <c r="H35" s="80"/>
      <c r="I35" s="57"/>
      <c r="J35" s="82">
        <f t="shared" si="22"/>
        <v>0</v>
      </c>
      <c r="K35" s="70"/>
      <c r="L35" s="53"/>
      <c r="M35" s="57">
        <f t="shared" si="23"/>
        <v>0</v>
      </c>
      <c r="N35" s="57">
        <f t="shared" ref="N35:P35" si="27">SUM(E35,H35,K35)</f>
        <v>64</v>
      </c>
      <c r="O35" s="57">
        <f t="shared" si="27"/>
        <v>78</v>
      </c>
      <c r="P35" s="59">
        <f t="shared" si="27"/>
        <v>142</v>
      </c>
    </row>
    <row r="36" ht="17.25" customHeight="1">
      <c r="A36" s="1"/>
      <c r="B36" s="67">
        <v>6.0</v>
      </c>
      <c r="C36" s="106" t="s">
        <v>71</v>
      </c>
      <c r="D36" s="75"/>
      <c r="E36" s="70"/>
      <c r="F36" s="57"/>
      <c r="G36" s="91">
        <v>1453.0</v>
      </c>
      <c r="H36" s="80"/>
      <c r="I36" s="57"/>
      <c r="J36" s="82"/>
      <c r="K36" s="70"/>
      <c r="L36" s="53"/>
      <c r="M36" s="82"/>
      <c r="N36" s="82"/>
      <c r="O36" s="82"/>
      <c r="P36" s="59">
        <f>SUM(G36,J36,M36)</f>
        <v>1453</v>
      </c>
    </row>
    <row r="37" ht="17.25" customHeight="1">
      <c r="A37" s="1"/>
      <c r="B37" s="67"/>
      <c r="C37" s="106" t="s">
        <v>81</v>
      </c>
      <c r="D37" s="75"/>
      <c r="E37" s="70"/>
      <c r="F37" s="57"/>
      <c r="G37" s="109">
        <v>36759.0</v>
      </c>
      <c r="H37" s="70"/>
      <c r="I37" s="57"/>
      <c r="J37" s="110">
        <f>SUM(H37:I37)</f>
        <v>0</v>
      </c>
      <c r="K37" s="70"/>
      <c r="L37" s="53"/>
      <c r="M37" s="59">
        <f>SUM(K37:L37)</f>
        <v>0</v>
      </c>
      <c r="N37" s="111">
        <f t="shared" ref="N37:P37" si="28">SUM(E37,H37,K37)</f>
        <v>0</v>
      </c>
      <c r="O37" s="59">
        <f t="shared" si="28"/>
        <v>0</v>
      </c>
      <c r="P37" s="59">
        <f t="shared" si="28"/>
        <v>36759</v>
      </c>
    </row>
    <row r="38" ht="24.0" customHeight="1">
      <c r="A38" s="1"/>
      <c r="B38" s="112" t="s">
        <v>45</v>
      </c>
      <c r="C38" s="113"/>
      <c r="D38" s="114"/>
      <c r="E38" s="115">
        <f t="shared" ref="E38:P38" si="29">SUM(E15:E37)</f>
        <v>4172</v>
      </c>
      <c r="F38" s="116">
        <f t="shared" si="29"/>
        <v>4095</v>
      </c>
      <c r="G38" s="115">
        <f t="shared" si="29"/>
        <v>82973</v>
      </c>
      <c r="H38" s="115">
        <f t="shared" si="29"/>
        <v>7</v>
      </c>
      <c r="I38" s="115">
        <f t="shared" si="29"/>
        <v>30</v>
      </c>
      <c r="J38" s="115">
        <f t="shared" si="29"/>
        <v>37</v>
      </c>
      <c r="K38" s="115">
        <f t="shared" si="29"/>
        <v>0</v>
      </c>
      <c r="L38" s="115">
        <f t="shared" si="29"/>
        <v>0</v>
      </c>
      <c r="M38" s="115">
        <f t="shared" si="29"/>
        <v>0</v>
      </c>
      <c r="N38" s="115">
        <f t="shared" si="29"/>
        <v>4179</v>
      </c>
      <c r="O38" s="115">
        <f t="shared" si="29"/>
        <v>4125</v>
      </c>
      <c r="P38" s="115">
        <f t="shared" si="29"/>
        <v>83010</v>
      </c>
    </row>
    <row r="39" ht="15.75" customHeight="1">
      <c r="A39" s="1"/>
      <c r="B39" s="117" t="s">
        <v>46</v>
      </c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</row>
    <row r="40" ht="21.0" customHeight="1">
      <c r="A40" s="1"/>
      <c r="B40" s="118" t="s">
        <v>47</v>
      </c>
      <c r="C40" s="27"/>
      <c r="D40" s="27"/>
      <c r="E40" s="27"/>
      <c r="F40" s="27"/>
      <c r="G40" s="27"/>
      <c r="H40" s="27"/>
      <c r="I40" s="27"/>
      <c r="J40" s="56"/>
      <c r="K40" s="119"/>
      <c r="L40" s="119"/>
      <c r="M40" s="119"/>
      <c r="N40" s="119"/>
      <c r="O40" s="119"/>
      <c r="P40" s="119"/>
    </row>
    <row r="41" ht="21.0" customHeight="1">
      <c r="A41" s="1"/>
      <c r="B41" s="120" t="s">
        <v>9</v>
      </c>
      <c r="C41" s="56"/>
      <c r="D41" s="121">
        <v>45809.0</v>
      </c>
      <c r="E41" s="27"/>
      <c r="F41" s="27"/>
      <c r="G41" s="27"/>
      <c r="H41" s="27"/>
      <c r="I41" s="27"/>
      <c r="J41" s="56"/>
      <c r="K41" s="1"/>
      <c r="L41" s="1"/>
      <c r="M41" s="1"/>
      <c r="N41" s="1"/>
      <c r="O41" s="1"/>
      <c r="P41" s="1"/>
    </row>
    <row r="42" ht="21.0" customHeight="1">
      <c r="A42" s="1"/>
      <c r="B42" s="122"/>
      <c r="C42" s="123" t="s">
        <v>12</v>
      </c>
      <c r="D42" s="124" t="s">
        <v>17</v>
      </c>
      <c r="E42" s="125" t="s">
        <v>82</v>
      </c>
      <c r="F42" s="125" t="s">
        <v>83</v>
      </c>
      <c r="G42" s="125" t="s">
        <v>84</v>
      </c>
      <c r="H42" s="126" t="s">
        <v>51</v>
      </c>
      <c r="I42" s="126" t="s">
        <v>52</v>
      </c>
      <c r="J42" s="126" t="s">
        <v>53</v>
      </c>
      <c r="K42" s="1"/>
      <c r="L42" s="1"/>
      <c r="M42" s="1"/>
      <c r="N42" s="1"/>
      <c r="O42" s="1"/>
      <c r="P42" s="1"/>
    </row>
    <row r="43" ht="26.25" customHeight="1">
      <c r="A43" s="1"/>
      <c r="B43" s="34"/>
      <c r="C43" s="34"/>
      <c r="D43" s="34"/>
      <c r="E43" s="34"/>
      <c r="F43" s="34"/>
      <c r="G43" s="34"/>
      <c r="H43" s="34"/>
      <c r="I43" s="34"/>
      <c r="J43" s="34"/>
      <c r="K43" s="1"/>
      <c r="L43" s="1"/>
      <c r="M43" s="1"/>
      <c r="N43" s="1"/>
      <c r="O43" s="1"/>
      <c r="P43" s="1"/>
    </row>
    <row r="44" ht="47.25" customHeight="1">
      <c r="A44" s="1"/>
      <c r="B44" s="46"/>
      <c r="C44" s="46"/>
      <c r="D44" s="46"/>
      <c r="E44" s="46"/>
      <c r="F44" s="46"/>
      <c r="G44" s="46"/>
      <c r="H44" s="46"/>
      <c r="I44" s="46"/>
      <c r="J44" s="46"/>
      <c r="K44" s="1"/>
      <c r="L44" s="1"/>
      <c r="M44" s="1"/>
      <c r="N44" s="1"/>
      <c r="O44" s="1"/>
      <c r="P44" s="1"/>
    </row>
    <row r="45" ht="21.0" customHeight="1">
      <c r="A45" s="1"/>
      <c r="B45" s="53">
        <v>1.0</v>
      </c>
      <c r="C45" s="127" t="s">
        <v>54</v>
      </c>
      <c r="D45" s="57"/>
      <c r="E45" s="57">
        <v>696.0</v>
      </c>
      <c r="F45" s="57">
        <v>696.0</v>
      </c>
      <c r="G45" s="57">
        <v>360.0</v>
      </c>
      <c r="H45" s="57"/>
      <c r="I45" s="57"/>
      <c r="J45" s="57"/>
      <c r="K45" s="1"/>
      <c r="L45" s="1"/>
      <c r="M45" s="1"/>
      <c r="N45" s="1"/>
      <c r="O45" s="1"/>
      <c r="P45" s="1"/>
    </row>
    <row r="46" ht="27.0" customHeight="1">
      <c r="A46" s="128"/>
      <c r="B46" s="129">
        <v>2.0</v>
      </c>
      <c r="C46" s="73" t="s">
        <v>27</v>
      </c>
      <c r="D46" s="130"/>
      <c r="E46" s="131">
        <v>193.0</v>
      </c>
      <c r="F46" s="131">
        <v>193.0</v>
      </c>
      <c r="G46" s="131">
        <v>76.0</v>
      </c>
      <c r="H46" s="131"/>
      <c r="I46" s="131"/>
      <c r="J46" s="131"/>
      <c r="K46" s="132"/>
      <c r="L46" s="132"/>
      <c r="M46" s="132"/>
      <c r="N46" s="132"/>
      <c r="O46" s="132"/>
      <c r="P46" s="132"/>
    </row>
    <row r="47" ht="21.0" customHeight="1">
      <c r="A47" s="1"/>
      <c r="B47" s="53">
        <v>3.0</v>
      </c>
      <c r="C47" s="133" t="s">
        <v>55</v>
      </c>
      <c r="D47" s="57"/>
      <c r="E47" s="134">
        <v>175.0</v>
      </c>
      <c r="F47" s="53">
        <v>175.0</v>
      </c>
      <c r="G47" s="53">
        <v>78.0</v>
      </c>
      <c r="H47" s="57"/>
      <c r="I47" s="57"/>
      <c r="J47" s="57"/>
      <c r="K47" s="1"/>
      <c r="L47" s="1"/>
      <c r="M47" s="1"/>
      <c r="N47" s="1"/>
      <c r="O47" s="1"/>
      <c r="P47" s="1"/>
    </row>
    <row r="48" ht="21.0" customHeight="1">
      <c r="A48" s="1"/>
      <c r="B48" s="53">
        <v>4.0</v>
      </c>
      <c r="C48" s="133" t="s">
        <v>56</v>
      </c>
      <c r="D48" s="57"/>
      <c r="E48" s="57">
        <v>183.0</v>
      </c>
      <c r="F48" s="57">
        <v>330.0</v>
      </c>
      <c r="G48" s="57"/>
      <c r="H48" s="57"/>
      <c r="I48" s="57"/>
      <c r="J48" s="57"/>
      <c r="K48" s="1"/>
      <c r="L48" s="1"/>
      <c r="M48" s="1"/>
      <c r="N48" s="1"/>
      <c r="O48" s="1"/>
      <c r="P48" s="1"/>
    </row>
    <row r="49" ht="21.0" customHeight="1">
      <c r="A49" s="1"/>
      <c r="B49" s="53">
        <v>5.0</v>
      </c>
      <c r="C49" s="127" t="s">
        <v>57</v>
      </c>
      <c r="D49" s="135"/>
      <c r="E49" s="53">
        <v>139.0</v>
      </c>
      <c r="F49" s="53">
        <v>139.0</v>
      </c>
      <c r="G49" s="53">
        <v>51.0</v>
      </c>
      <c r="H49" s="53"/>
      <c r="I49" s="53"/>
      <c r="J49" s="53"/>
      <c r="K49" s="1"/>
      <c r="L49" s="1"/>
      <c r="M49" s="1"/>
      <c r="N49" s="1"/>
      <c r="O49" s="1"/>
      <c r="P49" s="1"/>
    </row>
    <row r="50" ht="21.0" customHeight="1">
      <c r="A50" s="1"/>
      <c r="B50" s="53">
        <v>6.0</v>
      </c>
      <c r="C50" s="133" t="s">
        <v>58</v>
      </c>
      <c r="D50" s="57"/>
      <c r="E50" s="150" t="s">
        <v>23</v>
      </c>
      <c r="F50" s="27"/>
      <c r="G50" s="56"/>
      <c r="H50" s="57"/>
      <c r="I50" s="57"/>
      <c r="J50" s="57"/>
      <c r="K50" s="1"/>
      <c r="L50" s="1"/>
      <c r="M50" s="1"/>
      <c r="N50" s="1"/>
      <c r="O50" s="1"/>
      <c r="P50" s="1"/>
    </row>
    <row r="51" ht="21.0" customHeight="1">
      <c r="A51" s="1"/>
      <c r="B51" s="53">
        <v>7.0</v>
      </c>
      <c r="C51" s="137" t="s">
        <v>59</v>
      </c>
      <c r="D51" s="57"/>
      <c r="E51" s="150" t="s">
        <v>23</v>
      </c>
      <c r="F51" s="27"/>
      <c r="G51" s="56"/>
      <c r="H51" s="57"/>
      <c r="I51" s="57"/>
      <c r="J51" s="57"/>
      <c r="K51" s="1"/>
      <c r="L51" s="1"/>
      <c r="M51" s="1"/>
      <c r="N51" s="1"/>
      <c r="O51" s="1"/>
      <c r="P51" s="1"/>
    </row>
    <row r="52" ht="21.0" customHeight="1">
      <c r="A52" s="1"/>
      <c r="B52" s="53">
        <v>8.0</v>
      </c>
      <c r="C52" s="133" t="s">
        <v>60</v>
      </c>
      <c r="D52" s="57"/>
      <c r="E52" s="57">
        <v>28.0</v>
      </c>
      <c r="F52" s="57">
        <v>28.0</v>
      </c>
      <c r="G52" s="57">
        <v>14.0</v>
      </c>
      <c r="H52" s="57"/>
      <c r="I52" s="57"/>
      <c r="J52" s="57"/>
      <c r="K52" s="1"/>
      <c r="L52" s="1"/>
      <c r="M52" s="1"/>
      <c r="N52" s="1"/>
      <c r="O52" s="1"/>
      <c r="P52" s="1"/>
    </row>
    <row r="53" ht="21.0" customHeight="1">
      <c r="A53" s="1"/>
      <c r="B53" s="53">
        <v>9.0</v>
      </c>
      <c r="C53" s="133" t="s">
        <v>85</v>
      </c>
      <c r="D53" s="57"/>
      <c r="E53" s="57">
        <v>71.0</v>
      </c>
      <c r="F53" s="57">
        <v>75.0</v>
      </c>
      <c r="G53" s="57">
        <v>146.0</v>
      </c>
      <c r="H53" s="57"/>
      <c r="I53" s="57"/>
      <c r="J53" s="57"/>
      <c r="K53" s="1"/>
      <c r="L53" s="1"/>
      <c r="M53" s="1"/>
      <c r="N53" s="1"/>
      <c r="O53" s="1"/>
      <c r="P53" s="1"/>
    </row>
    <row r="54" ht="21.0" customHeight="1">
      <c r="A54" s="1"/>
      <c r="B54" s="53">
        <v>10.0</v>
      </c>
      <c r="C54" s="133" t="s">
        <v>61</v>
      </c>
      <c r="D54" s="57"/>
      <c r="E54" s="57">
        <v>185.0</v>
      </c>
      <c r="F54" s="57">
        <v>185.0</v>
      </c>
      <c r="G54" s="57">
        <v>98.0</v>
      </c>
      <c r="H54" s="57"/>
      <c r="I54" s="57"/>
      <c r="J54" s="57"/>
      <c r="K54" s="1"/>
      <c r="L54" s="1"/>
      <c r="M54" s="1"/>
      <c r="N54" s="1"/>
      <c r="O54" s="1"/>
      <c r="P54" s="1"/>
    </row>
    <row r="55" ht="21.0" customHeight="1">
      <c r="A55" s="1"/>
      <c r="B55" s="138" t="s">
        <v>45</v>
      </c>
      <c r="C55" s="56"/>
      <c r="D55" s="139"/>
      <c r="E55" s="140">
        <f t="shared" ref="E55:G55" si="30">SUM(E45:E54)</f>
        <v>1670</v>
      </c>
      <c r="F55" s="140">
        <f t="shared" si="30"/>
        <v>1821</v>
      </c>
      <c r="G55" s="140">
        <f t="shared" si="30"/>
        <v>823</v>
      </c>
      <c r="H55" s="140"/>
      <c r="I55" s="140"/>
      <c r="J55" s="140"/>
      <c r="K55" s="1"/>
      <c r="L55" s="1"/>
      <c r="M55" s="1"/>
      <c r="N55" s="1"/>
      <c r="O55" s="1"/>
      <c r="P55" s="1"/>
    </row>
    <row r="56" ht="21.0" customHeight="1">
      <c r="A56" s="1"/>
      <c r="B56" s="117" t="s">
        <v>62</v>
      </c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</row>
    <row r="57" ht="15.0" customHeight="1">
      <c r="A57" s="1"/>
      <c r="B57" s="117" t="s">
        <v>63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</row>
    <row r="58" ht="13.5" customHeight="1">
      <c r="A58" s="1"/>
      <c r="B58" s="117" t="s">
        <v>64</v>
      </c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</row>
  </sheetData>
  <mergeCells count="32">
    <mergeCell ref="N11:P13"/>
    <mergeCell ref="K12:M13"/>
    <mergeCell ref="E13:G13"/>
    <mergeCell ref="H13:J13"/>
    <mergeCell ref="H4:I4"/>
    <mergeCell ref="B10:P10"/>
    <mergeCell ref="B11:C11"/>
    <mergeCell ref="E11:M11"/>
    <mergeCell ref="B12:B14"/>
    <mergeCell ref="C12:C14"/>
    <mergeCell ref="E12:J12"/>
    <mergeCell ref="D15:F15"/>
    <mergeCell ref="D16:F16"/>
    <mergeCell ref="D20:F20"/>
    <mergeCell ref="D21:F21"/>
    <mergeCell ref="D23:F23"/>
    <mergeCell ref="B38:C38"/>
    <mergeCell ref="B40:J40"/>
    <mergeCell ref="G42:G44"/>
    <mergeCell ref="H42:H44"/>
    <mergeCell ref="E50:G50"/>
    <mergeCell ref="E51:G51"/>
    <mergeCell ref="B55:C55"/>
    <mergeCell ref="I42:I44"/>
    <mergeCell ref="J42:J44"/>
    <mergeCell ref="B41:C41"/>
    <mergeCell ref="D41:J41"/>
    <mergeCell ref="B42:B44"/>
    <mergeCell ref="C42:C44"/>
    <mergeCell ref="D42:D44"/>
    <mergeCell ref="E42:E44"/>
    <mergeCell ref="F42:F44"/>
  </mergeCells>
  <printOptions horizontalCentered="1"/>
  <pageMargins bottom="0.75" footer="0.0" header="0.0" left="0.25" right="0.25" top="0.75"/>
  <pageSetup fitToHeight="0" paperSize="14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 fitToPage="1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5.63"/>
    <col customWidth="1" min="3" max="3" width="32.38"/>
    <col customWidth="1" min="4" max="4" width="9.13"/>
    <col customWidth="1" min="5" max="14" width="7.63"/>
    <col customWidth="1" min="15" max="15" width="10.38"/>
    <col customWidth="1" min="16" max="16" width="10.75"/>
  </cols>
  <sheetData>
    <row r="1" ht="13.5" customHeight="1">
      <c r="A1" s="1" t="s">
        <v>53</v>
      </c>
      <c r="B1" s="2" t="s">
        <v>0</v>
      </c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 t="s">
        <v>1</v>
      </c>
    </row>
    <row r="2" ht="14.25" customHeight="1">
      <c r="A2" s="1"/>
      <c r="B2" s="3" t="s">
        <v>2</v>
      </c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8.25" customHeight="1">
      <c r="A3" s="1"/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5.75" customHeight="1">
      <c r="A4" s="1"/>
      <c r="B4" s="1"/>
      <c r="C4" s="1"/>
      <c r="D4" s="1"/>
      <c r="E4" s="1"/>
      <c r="F4" s="4" t="s">
        <v>3</v>
      </c>
      <c r="G4" s="4"/>
      <c r="H4" s="141">
        <v>45839.0</v>
      </c>
      <c r="I4" s="6"/>
      <c r="J4" s="7"/>
      <c r="K4" s="7"/>
      <c r="L4" s="7"/>
      <c r="M4" s="7"/>
      <c r="N4" s="7"/>
      <c r="O4" s="7"/>
      <c r="P4" s="8"/>
    </row>
    <row r="5" ht="15.75" customHeight="1">
      <c r="A5" s="1"/>
      <c r="B5" s="1"/>
      <c r="C5" s="1"/>
      <c r="D5" s="1"/>
      <c r="E5" s="1"/>
      <c r="F5" s="4" t="s">
        <v>4</v>
      </c>
      <c r="G5" s="4"/>
      <c r="H5" s="9" t="s">
        <v>5</v>
      </c>
      <c r="I5" s="9"/>
      <c r="J5" s="9"/>
      <c r="K5" s="9"/>
      <c r="L5" s="9"/>
      <c r="M5" s="9"/>
      <c r="N5" s="9"/>
      <c r="O5" s="9"/>
      <c r="P5" s="8"/>
    </row>
    <row r="6" ht="15.75" customHeight="1">
      <c r="A6" s="1"/>
      <c r="B6" s="1"/>
      <c r="C6" s="1"/>
      <c r="D6" s="1"/>
      <c r="E6" s="1"/>
      <c r="F6" s="4" t="s">
        <v>6</v>
      </c>
      <c r="G6" s="4"/>
      <c r="H6" s="7"/>
      <c r="I6" s="7"/>
      <c r="J6" s="7"/>
      <c r="K6" s="7"/>
      <c r="L6" s="7"/>
      <c r="M6" s="7"/>
      <c r="N6" s="7"/>
      <c r="O6" s="7"/>
      <c r="P6" s="8"/>
    </row>
    <row r="7" ht="15.75" customHeight="1">
      <c r="A7" s="1"/>
      <c r="B7" s="1"/>
      <c r="C7" s="1"/>
      <c r="D7" s="10"/>
      <c r="E7" s="10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ht="15.75" customHeight="1">
      <c r="A8" s="1"/>
      <c r="B8" s="1"/>
      <c r="C8" s="1"/>
      <c r="D8" s="4"/>
      <c r="E8" s="4" t="s">
        <v>7</v>
      </c>
      <c r="F8" s="11"/>
      <c r="G8" s="8"/>
      <c r="H8" s="10"/>
      <c r="I8" s="10"/>
      <c r="J8" s="10"/>
      <c r="K8" s="10"/>
      <c r="L8" s="10"/>
      <c r="M8" s="10"/>
      <c r="N8" s="10"/>
      <c r="O8" s="10"/>
      <c r="P8" s="1"/>
    </row>
    <row r="9" ht="17.25" customHeight="1">
      <c r="A9" s="1"/>
      <c r="B9" s="1"/>
      <c r="C9" s="1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ht="17.25" customHeight="1">
      <c r="A10" s="1"/>
      <c r="B10" s="12" t="s">
        <v>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ht="16.5" customHeight="1">
      <c r="A11" s="1"/>
      <c r="B11" s="14" t="s">
        <v>9</v>
      </c>
      <c r="C11" s="15"/>
      <c r="D11" s="16"/>
      <c r="E11" s="17" t="s">
        <v>10</v>
      </c>
      <c r="F11" s="18"/>
      <c r="G11" s="18"/>
      <c r="H11" s="18"/>
      <c r="I11" s="18"/>
      <c r="J11" s="18"/>
      <c r="K11" s="18"/>
      <c r="L11" s="18"/>
      <c r="M11" s="19"/>
      <c r="N11" s="20" t="s">
        <v>11</v>
      </c>
      <c r="O11" s="21"/>
      <c r="P11" s="22"/>
    </row>
    <row r="12" ht="15.0" customHeight="1">
      <c r="A12" s="1"/>
      <c r="B12" s="23"/>
      <c r="C12" s="24" t="s">
        <v>12</v>
      </c>
      <c r="D12" s="25"/>
      <c r="E12" s="26" t="s">
        <v>13</v>
      </c>
      <c r="F12" s="27"/>
      <c r="G12" s="27"/>
      <c r="H12" s="27"/>
      <c r="I12" s="27"/>
      <c r="J12" s="27"/>
      <c r="K12" s="28" t="s">
        <v>14</v>
      </c>
      <c r="L12" s="29"/>
      <c r="M12" s="30"/>
      <c r="N12" s="31"/>
      <c r="P12" s="32"/>
    </row>
    <row r="13" ht="28.5" customHeight="1">
      <c r="A13" s="1"/>
      <c r="B13" s="33"/>
      <c r="C13" s="34"/>
      <c r="D13" s="35"/>
      <c r="E13" s="36" t="s">
        <v>15</v>
      </c>
      <c r="F13" s="37"/>
      <c r="G13" s="38"/>
      <c r="H13" s="36" t="s">
        <v>16</v>
      </c>
      <c r="I13" s="37"/>
      <c r="J13" s="38"/>
      <c r="K13" s="39"/>
      <c r="L13" s="40"/>
      <c r="M13" s="41"/>
      <c r="N13" s="42"/>
      <c r="O13" s="43"/>
      <c r="P13" s="44"/>
    </row>
    <row r="14" ht="36.75" customHeight="1">
      <c r="A14" s="1"/>
      <c r="B14" s="45"/>
      <c r="C14" s="46"/>
      <c r="D14" s="47" t="s">
        <v>17</v>
      </c>
      <c r="E14" s="48" t="s">
        <v>18</v>
      </c>
      <c r="F14" s="49" t="s">
        <v>19</v>
      </c>
      <c r="G14" s="50" t="s">
        <v>20</v>
      </c>
      <c r="H14" s="48" t="s">
        <v>18</v>
      </c>
      <c r="I14" s="51" t="s">
        <v>19</v>
      </c>
      <c r="J14" s="50" t="s">
        <v>20</v>
      </c>
      <c r="K14" s="48" t="s">
        <v>21</v>
      </c>
      <c r="L14" s="51" t="s">
        <v>19</v>
      </c>
      <c r="M14" s="52" t="s">
        <v>20</v>
      </c>
      <c r="N14" s="50" t="s">
        <v>18</v>
      </c>
      <c r="O14" s="50" t="s">
        <v>19</v>
      </c>
      <c r="P14" s="50" t="s">
        <v>20</v>
      </c>
    </row>
    <row r="15" ht="17.25" customHeight="1">
      <c r="A15" s="1"/>
      <c r="B15" s="53">
        <v>1.0</v>
      </c>
      <c r="C15" s="54" t="s">
        <v>22</v>
      </c>
      <c r="D15" s="150" t="s">
        <v>23</v>
      </c>
      <c r="E15" s="27"/>
      <c r="F15" s="56"/>
      <c r="G15" s="57">
        <f t="shared" ref="G15:G16" si="2">SUM(E15:F15)</f>
        <v>0</v>
      </c>
      <c r="H15" s="57"/>
      <c r="I15" s="57"/>
      <c r="J15" s="57">
        <f t="shared" ref="J15:J18" si="3">SUM(H15:I15)</f>
        <v>0</v>
      </c>
      <c r="K15" s="57"/>
      <c r="L15" s="58"/>
      <c r="M15" s="57">
        <f t="shared" ref="M15:M29" si="4">SUM(K15:L15)</f>
        <v>0</v>
      </c>
      <c r="N15" s="57">
        <f t="shared" ref="N15:P15" si="1">SUM(E15,H15,K15)</f>
        <v>0</v>
      </c>
      <c r="O15" s="57">
        <f t="shared" si="1"/>
        <v>0</v>
      </c>
      <c r="P15" s="59">
        <f t="shared" si="1"/>
        <v>0</v>
      </c>
    </row>
    <row r="16" ht="17.25" customHeight="1">
      <c r="A16" s="1"/>
      <c r="B16" s="60">
        <v>2.0</v>
      </c>
      <c r="C16" s="61" t="s">
        <v>24</v>
      </c>
      <c r="D16" s="150" t="s">
        <v>23</v>
      </c>
      <c r="E16" s="27"/>
      <c r="F16" s="56"/>
      <c r="G16" s="57">
        <f t="shared" si="2"/>
        <v>0</v>
      </c>
      <c r="H16" s="64"/>
      <c r="I16" s="65"/>
      <c r="J16" s="57">
        <f t="shared" si="3"/>
        <v>0</v>
      </c>
      <c r="K16" s="64"/>
      <c r="L16" s="66"/>
      <c r="M16" s="57">
        <f t="shared" si="4"/>
        <v>0</v>
      </c>
      <c r="N16" s="57">
        <f t="shared" ref="N16:P16" si="5">SUM(E16,H16,K16)</f>
        <v>0</v>
      </c>
      <c r="O16" s="57">
        <f t="shared" si="5"/>
        <v>0</v>
      </c>
      <c r="P16" s="59">
        <f t="shared" si="5"/>
        <v>0</v>
      </c>
    </row>
    <row r="17" ht="17.25" customHeight="1">
      <c r="A17" s="1"/>
      <c r="B17" s="67">
        <v>3.0</v>
      </c>
      <c r="C17" s="54" t="s">
        <v>25</v>
      </c>
      <c r="D17" s="159"/>
      <c r="E17" s="175">
        <v>41.0</v>
      </c>
      <c r="F17" s="175">
        <v>32.0</v>
      </c>
      <c r="G17" s="175">
        <v>78.0</v>
      </c>
      <c r="H17" s="80"/>
      <c r="I17" s="57"/>
      <c r="J17" s="57">
        <f t="shared" si="3"/>
        <v>0</v>
      </c>
      <c r="K17" s="70"/>
      <c r="L17" s="58"/>
      <c r="M17" s="57">
        <f t="shared" si="4"/>
        <v>0</v>
      </c>
      <c r="N17" s="57">
        <f t="shared" ref="N17:N29" si="6">SUM(E17,H17,K17)</f>
        <v>41</v>
      </c>
      <c r="O17" s="81">
        <v>32.0</v>
      </c>
      <c r="P17" s="59">
        <f>SUM(G17,J17,M17)</f>
        <v>78</v>
      </c>
    </row>
    <row r="18" ht="17.25" customHeight="1">
      <c r="A18" s="1"/>
      <c r="B18" s="67">
        <v>4.0</v>
      </c>
      <c r="C18" s="54" t="s">
        <v>26</v>
      </c>
      <c r="D18" s="71"/>
      <c r="E18" s="175">
        <v>113.0</v>
      </c>
      <c r="F18" s="175">
        <v>87.0</v>
      </c>
      <c r="G18" s="81">
        <v>200.0</v>
      </c>
      <c r="H18" s="70"/>
      <c r="I18" s="57"/>
      <c r="J18" s="57">
        <f t="shared" si="3"/>
        <v>0</v>
      </c>
      <c r="K18" s="70"/>
      <c r="L18" s="58"/>
      <c r="M18" s="57">
        <f t="shared" si="4"/>
        <v>0</v>
      </c>
      <c r="N18" s="57">
        <f t="shared" si="6"/>
        <v>113</v>
      </c>
      <c r="O18" s="57">
        <f t="shared" ref="O18:P18" si="7">SUM(F18,I18,L18)</f>
        <v>87</v>
      </c>
      <c r="P18" s="59">
        <f t="shared" si="7"/>
        <v>200</v>
      </c>
    </row>
    <row r="19" ht="17.25" customHeight="1">
      <c r="A19" s="1"/>
      <c r="B19" s="67">
        <v>5.0</v>
      </c>
      <c r="C19" s="73" t="s">
        <v>27</v>
      </c>
      <c r="D19" s="74"/>
      <c r="E19" s="70"/>
      <c r="F19" s="75"/>
      <c r="G19" s="81">
        <v>380.0</v>
      </c>
      <c r="H19" s="70"/>
      <c r="I19" s="57"/>
      <c r="J19" s="57">
        <v>0.0</v>
      </c>
      <c r="K19" s="70"/>
      <c r="L19" s="58"/>
      <c r="M19" s="57">
        <f t="shared" si="4"/>
        <v>0</v>
      </c>
      <c r="N19" s="57">
        <f t="shared" si="6"/>
        <v>0</v>
      </c>
      <c r="O19" s="57">
        <f t="shared" ref="O19:P19" si="8">SUM(F19,I19,L19)</f>
        <v>0</v>
      </c>
      <c r="P19" s="59">
        <f t="shared" si="8"/>
        <v>380</v>
      </c>
    </row>
    <row r="20" ht="17.25" customHeight="1">
      <c r="A20" s="1"/>
      <c r="B20" s="67">
        <v>6.0</v>
      </c>
      <c r="C20" s="54" t="s">
        <v>28</v>
      </c>
      <c r="D20" s="150" t="s">
        <v>23</v>
      </c>
      <c r="E20" s="27"/>
      <c r="F20" s="56"/>
      <c r="G20" s="57">
        <f t="shared" ref="G20:G24" si="10">SUM(E20:F20)</f>
        <v>0</v>
      </c>
      <c r="H20" s="70"/>
      <c r="I20" s="57"/>
      <c r="J20" s="57">
        <f t="shared" ref="J20:J26" si="11">SUM(H20:I20)</f>
        <v>0</v>
      </c>
      <c r="K20" s="70"/>
      <c r="L20" s="58"/>
      <c r="M20" s="57">
        <f t="shared" si="4"/>
        <v>0</v>
      </c>
      <c r="N20" s="57">
        <f t="shared" si="6"/>
        <v>0</v>
      </c>
      <c r="O20" s="57">
        <f t="shared" ref="O20:P20" si="9">SUM(F20,I20,L20)</f>
        <v>0</v>
      </c>
      <c r="P20" s="59">
        <f t="shared" si="9"/>
        <v>0</v>
      </c>
    </row>
    <row r="21" ht="17.25" customHeight="1">
      <c r="A21" s="1"/>
      <c r="B21" s="67">
        <v>7.0</v>
      </c>
      <c r="C21" s="54" t="s">
        <v>29</v>
      </c>
      <c r="D21" s="150" t="s">
        <v>23</v>
      </c>
      <c r="E21" s="27"/>
      <c r="F21" s="56"/>
      <c r="G21" s="57">
        <f t="shared" si="10"/>
        <v>0</v>
      </c>
      <c r="H21" s="70"/>
      <c r="I21" s="57"/>
      <c r="J21" s="57">
        <f t="shared" si="11"/>
        <v>0</v>
      </c>
      <c r="K21" s="70"/>
      <c r="L21" s="58"/>
      <c r="M21" s="57">
        <f t="shared" si="4"/>
        <v>0</v>
      </c>
      <c r="N21" s="57">
        <f t="shared" si="6"/>
        <v>0</v>
      </c>
      <c r="O21" s="57">
        <f t="shared" ref="O21:P21" si="12">SUM(F21,I21,L21)</f>
        <v>0</v>
      </c>
      <c r="P21" s="59">
        <f t="shared" si="12"/>
        <v>0</v>
      </c>
    </row>
    <row r="22" ht="17.25" customHeight="1">
      <c r="A22" s="1"/>
      <c r="B22" s="67">
        <v>8.0</v>
      </c>
      <c r="C22" s="54" t="s">
        <v>30</v>
      </c>
      <c r="D22" s="150" t="s">
        <v>23</v>
      </c>
      <c r="E22" s="27"/>
      <c r="F22" s="56"/>
      <c r="G22" s="57">
        <f t="shared" si="10"/>
        <v>0</v>
      </c>
      <c r="H22" s="70"/>
      <c r="I22" s="57"/>
      <c r="J22" s="57">
        <f t="shared" si="11"/>
        <v>0</v>
      </c>
      <c r="K22" s="70"/>
      <c r="L22" s="58"/>
      <c r="M22" s="57">
        <f t="shared" si="4"/>
        <v>0</v>
      </c>
      <c r="N22" s="57">
        <f t="shared" si="6"/>
        <v>0</v>
      </c>
      <c r="O22" s="57">
        <f t="shared" ref="O22:P22" si="13">SUM(F22,I22,L22)</f>
        <v>0</v>
      </c>
      <c r="P22" s="59">
        <f t="shared" si="13"/>
        <v>0</v>
      </c>
    </row>
    <row r="23" ht="17.25" customHeight="1">
      <c r="A23" s="1"/>
      <c r="B23" s="67">
        <v>9.0</v>
      </c>
      <c r="C23" s="54" t="s">
        <v>31</v>
      </c>
      <c r="D23" s="150" t="s">
        <v>23</v>
      </c>
      <c r="E23" s="27"/>
      <c r="F23" s="56"/>
      <c r="G23" s="57">
        <f t="shared" si="10"/>
        <v>0</v>
      </c>
      <c r="H23" s="70"/>
      <c r="I23" s="57"/>
      <c r="J23" s="57">
        <f t="shared" si="11"/>
        <v>0</v>
      </c>
      <c r="K23" s="70"/>
      <c r="L23" s="58"/>
      <c r="M23" s="57">
        <f t="shared" si="4"/>
        <v>0</v>
      </c>
      <c r="N23" s="57">
        <f t="shared" si="6"/>
        <v>0</v>
      </c>
      <c r="O23" s="57">
        <f t="shared" ref="O23:P23" si="14">SUM(F23,I23,L23)</f>
        <v>0</v>
      </c>
      <c r="P23" s="59">
        <f t="shared" si="14"/>
        <v>0</v>
      </c>
    </row>
    <row r="24" ht="17.25" customHeight="1">
      <c r="A24" s="1"/>
      <c r="B24" s="67">
        <v>10.0</v>
      </c>
      <c r="C24" s="146" t="s">
        <v>32</v>
      </c>
      <c r="D24" s="159"/>
      <c r="E24" s="175">
        <v>95.0</v>
      </c>
      <c r="F24" s="175">
        <v>119.0</v>
      </c>
      <c r="G24" s="57">
        <f t="shared" si="10"/>
        <v>214</v>
      </c>
      <c r="H24" s="70"/>
      <c r="I24" s="57"/>
      <c r="J24" s="57">
        <f t="shared" si="11"/>
        <v>0</v>
      </c>
      <c r="K24" s="70"/>
      <c r="L24" s="58"/>
      <c r="M24" s="57">
        <f t="shared" si="4"/>
        <v>0</v>
      </c>
      <c r="N24" s="57">
        <f t="shared" si="6"/>
        <v>95</v>
      </c>
      <c r="O24" s="57">
        <f t="shared" ref="O24:P24" si="15">SUM(F24,I24,L24)</f>
        <v>119</v>
      </c>
      <c r="P24" s="59">
        <f t="shared" si="15"/>
        <v>214</v>
      </c>
    </row>
    <row r="25" ht="17.25" customHeight="1">
      <c r="A25" s="1"/>
      <c r="B25" s="67">
        <v>11.0</v>
      </c>
      <c r="C25" s="54" t="s">
        <v>65</v>
      </c>
      <c r="D25" s="159"/>
      <c r="E25" s="175">
        <v>17.0</v>
      </c>
      <c r="F25" s="175">
        <v>32.0</v>
      </c>
      <c r="G25" s="81">
        <v>49.0</v>
      </c>
      <c r="H25" s="70"/>
      <c r="I25" s="57"/>
      <c r="J25" s="57">
        <f t="shared" si="11"/>
        <v>0</v>
      </c>
      <c r="K25" s="70"/>
      <c r="L25" s="58"/>
      <c r="M25" s="57">
        <f t="shared" si="4"/>
        <v>0</v>
      </c>
      <c r="N25" s="57">
        <f t="shared" si="6"/>
        <v>17</v>
      </c>
      <c r="O25" s="57">
        <f t="shared" ref="O25:P25" si="16">SUM(F25,I25,L25)</f>
        <v>32</v>
      </c>
      <c r="P25" s="59">
        <f t="shared" si="16"/>
        <v>49</v>
      </c>
    </row>
    <row r="26" ht="17.25" customHeight="1">
      <c r="A26" s="1"/>
      <c r="B26" s="67">
        <v>12.0</v>
      </c>
      <c r="C26" s="54" t="s">
        <v>66</v>
      </c>
      <c r="D26" s="71"/>
      <c r="E26" s="107">
        <v>243.0</v>
      </c>
      <c r="F26" s="147">
        <v>158.0</v>
      </c>
      <c r="G26" s="57">
        <f>SUM(E26:F26)</f>
        <v>401</v>
      </c>
      <c r="H26" s="70"/>
      <c r="I26" s="57"/>
      <c r="J26" s="57">
        <f t="shared" si="11"/>
        <v>0</v>
      </c>
      <c r="K26" s="70"/>
      <c r="L26" s="58"/>
      <c r="M26" s="57">
        <f t="shared" si="4"/>
        <v>0</v>
      </c>
      <c r="N26" s="57">
        <f t="shared" si="6"/>
        <v>243</v>
      </c>
      <c r="O26" s="57">
        <f t="shared" ref="O26:P26" si="17">SUM(F26,I26,L26)</f>
        <v>158</v>
      </c>
      <c r="P26" s="59">
        <f t="shared" si="17"/>
        <v>401</v>
      </c>
    </row>
    <row r="27" ht="17.25" customHeight="1">
      <c r="A27" s="1"/>
      <c r="B27" s="67">
        <v>13.0</v>
      </c>
      <c r="C27" s="54" t="s">
        <v>35</v>
      </c>
      <c r="D27" s="74"/>
      <c r="E27" s="107">
        <v>430.0</v>
      </c>
      <c r="F27" s="81">
        <v>594.0</v>
      </c>
      <c r="G27" s="81">
        <v>1024.0</v>
      </c>
      <c r="H27" s="70"/>
      <c r="I27" s="57"/>
      <c r="J27" s="81">
        <v>0.0</v>
      </c>
      <c r="K27" s="70"/>
      <c r="L27" s="58"/>
      <c r="M27" s="57">
        <f t="shared" si="4"/>
        <v>0</v>
      </c>
      <c r="N27" s="57">
        <f t="shared" si="6"/>
        <v>430</v>
      </c>
      <c r="O27" s="57">
        <f t="shared" ref="O27:P27" si="18">SUM(F27,I27,L27)</f>
        <v>594</v>
      </c>
      <c r="P27" s="59">
        <f t="shared" si="18"/>
        <v>1024</v>
      </c>
    </row>
    <row r="28" ht="17.25" customHeight="1">
      <c r="A28" s="1"/>
      <c r="B28" s="67">
        <v>14.0</v>
      </c>
      <c r="C28" s="54" t="s">
        <v>36</v>
      </c>
      <c r="D28" s="75"/>
      <c r="E28" s="107">
        <v>28.0</v>
      </c>
      <c r="F28" s="81">
        <v>21.0</v>
      </c>
      <c r="G28" s="81">
        <v>49.0</v>
      </c>
      <c r="H28" s="70"/>
      <c r="I28" s="57"/>
      <c r="J28" s="81">
        <v>0.0</v>
      </c>
      <c r="K28" s="70"/>
      <c r="L28" s="58"/>
      <c r="M28" s="57">
        <f t="shared" si="4"/>
        <v>0</v>
      </c>
      <c r="N28" s="57">
        <f t="shared" si="6"/>
        <v>28</v>
      </c>
      <c r="O28" s="57">
        <f t="shared" ref="O28:P28" si="19">SUM(F28,I28,L28)</f>
        <v>21</v>
      </c>
      <c r="P28" s="59">
        <f t="shared" si="19"/>
        <v>49</v>
      </c>
    </row>
    <row r="29" ht="17.25" customHeight="1">
      <c r="A29" s="1"/>
      <c r="B29" s="176">
        <v>15.0</v>
      </c>
      <c r="C29" s="133" t="s">
        <v>85</v>
      </c>
      <c r="D29" s="75"/>
      <c r="E29" s="107">
        <v>31.0</v>
      </c>
      <c r="F29" s="81">
        <v>21.0</v>
      </c>
      <c r="G29" s="81">
        <v>52.0</v>
      </c>
      <c r="H29" s="70"/>
      <c r="I29" s="57"/>
      <c r="J29" s="81">
        <v>0.0</v>
      </c>
      <c r="K29" s="70"/>
      <c r="L29" s="58"/>
      <c r="M29" s="57">
        <f t="shared" si="4"/>
        <v>0</v>
      </c>
      <c r="N29" s="57">
        <f t="shared" si="6"/>
        <v>31</v>
      </c>
      <c r="O29" s="57">
        <f t="shared" ref="O29:P29" si="20">SUM(F29,I29,L29)</f>
        <v>21</v>
      </c>
      <c r="P29" s="59">
        <f t="shared" si="20"/>
        <v>52</v>
      </c>
    </row>
    <row r="30" ht="17.25" customHeight="1">
      <c r="A30" s="1"/>
      <c r="B30" s="83"/>
      <c r="C30" s="84" t="s">
        <v>37</v>
      </c>
      <c r="D30" s="85"/>
      <c r="E30" s="86"/>
      <c r="F30" s="87"/>
      <c r="G30" s="88"/>
      <c r="H30" s="86"/>
      <c r="I30" s="87"/>
      <c r="J30" s="88"/>
      <c r="K30" s="86"/>
      <c r="L30" s="89"/>
      <c r="M30" s="87"/>
      <c r="N30" s="87"/>
      <c r="O30" s="87"/>
      <c r="P30" s="87"/>
    </row>
    <row r="31" ht="17.25" customHeight="1">
      <c r="A31" s="1"/>
      <c r="B31" s="67">
        <v>1.0</v>
      </c>
      <c r="C31" s="90" t="s">
        <v>38</v>
      </c>
      <c r="D31" s="55" t="s">
        <v>23</v>
      </c>
      <c r="E31" s="27"/>
      <c r="F31" s="56"/>
      <c r="G31" s="177">
        <f>SUM(E31:F31)</f>
        <v>0</v>
      </c>
      <c r="H31" s="178"/>
      <c r="I31" s="166"/>
      <c r="J31" s="177">
        <f t="shared" ref="J31:J37" si="22">SUM(H31:I31)</f>
        <v>0</v>
      </c>
      <c r="K31" s="178"/>
      <c r="L31" s="179"/>
      <c r="M31" s="77">
        <f t="shared" ref="M31:M37" si="23">SUM(K31:L31)</f>
        <v>0</v>
      </c>
      <c r="N31" s="180">
        <f t="shared" ref="N31:P31" si="21">SUM(E31,H31,K31)</f>
        <v>0</v>
      </c>
      <c r="O31" s="77">
        <f t="shared" si="21"/>
        <v>0</v>
      </c>
      <c r="P31" s="59">
        <f t="shared" si="21"/>
        <v>0</v>
      </c>
    </row>
    <row r="32" ht="17.25" customHeight="1">
      <c r="A32" s="1"/>
      <c r="B32" s="67">
        <v>2.0</v>
      </c>
      <c r="C32" s="92" t="s">
        <v>39</v>
      </c>
      <c r="D32" s="93"/>
      <c r="E32" s="181"/>
      <c r="F32" s="182"/>
      <c r="G32" s="183">
        <v>14645.0</v>
      </c>
      <c r="H32" s="184"/>
      <c r="I32" s="185"/>
      <c r="J32" s="186">
        <f t="shared" si="22"/>
        <v>0</v>
      </c>
      <c r="K32" s="184"/>
      <c r="L32" s="187"/>
      <c r="M32" s="188">
        <f t="shared" si="23"/>
        <v>0</v>
      </c>
      <c r="N32" s="183">
        <f t="shared" ref="N32:P32" si="24">SUM(E32,H32,K32)</f>
        <v>0</v>
      </c>
      <c r="O32" s="183">
        <f t="shared" si="24"/>
        <v>0</v>
      </c>
      <c r="P32" s="100">
        <f t="shared" si="24"/>
        <v>14645</v>
      </c>
    </row>
    <row r="33" ht="17.25" customHeight="1">
      <c r="A33" s="1"/>
      <c r="B33" s="67">
        <v>3.0</v>
      </c>
      <c r="C33" s="101" t="s">
        <v>40</v>
      </c>
      <c r="D33" s="75"/>
      <c r="E33" s="189"/>
      <c r="F33" s="190"/>
      <c r="G33" s="191">
        <v>1788.0</v>
      </c>
      <c r="H33" s="178"/>
      <c r="I33" s="166"/>
      <c r="J33" s="192">
        <f t="shared" si="22"/>
        <v>0</v>
      </c>
      <c r="K33" s="193"/>
      <c r="L33" s="179"/>
      <c r="M33" s="77">
        <f t="shared" si="23"/>
        <v>0</v>
      </c>
      <c r="N33" s="191">
        <f t="shared" ref="N33:P33" si="25">SUM(E33,H33,K33)</f>
        <v>0</v>
      </c>
      <c r="O33" s="191">
        <f t="shared" si="25"/>
        <v>0</v>
      </c>
      <c r="P33" s="105">
        <f t="shared" si="25"/>
        <v>1788</v>
      </c>
    </row>
    <row r="34" ht="17.25" customHeight="1">
      <c r="A34" s="1"/>
      <c r="B34" s="67">
        <v>4.0</v>
      </c>
      <c r="C34" s="106" t="s">
        <v>41</v>
      </c>
      <c r="D34" s="75"/>
      <c r="E34" s="189"/>
      <c r="F34" s="190"/>
      <c r="G34" s="191">
        <v>10314.0</v>
      </c>
      <c r="H34" s="178"/>
      <c r="I34" s="166"/>
      <c r="J34" s="194">
        <f t="shared" si="22"/>
        <v>0</v>
      </c>
      <c r="K34" s="193"/>
      <c r="L34" s="179"/>
      <c r="M34" s="77">
        <f t="shared" si="23"/>
        <v>0</v>
      </c>
      <c r="N34" s="191">
        <f t="shared" ref="N34:P34" si="26">SUM(E34,H34,K34)</f>
        <v>0</v>
      </c>
      <c r="O34" s="191">
        <f t="shared" si="26"/>
        <v>0</v>
      </c>
      <c r="P34" s="105">
        <f t="shared" si="26"/>
        <v>10314</v>
      </c>
    </row>
    <row r="35" ht="17.25" customHeight="1">
      <c r="A35" s="1"/>
      <c r="B35" s="67">
        <v>5.0</v>
      </c>
      <c r="C35" s="106" t="s">
        <v>42</v>
      </c>
      <c r="D35" s="55" t="s">
        <v>23</v>
      </c>
      <c r="E35" s="27"/>
      <c r="F35" s="56"/>
      <c r="G35" s="77">
        <f>SUM(E35:F35)</f>
        <v>0</v>
      </c>
      <c r="H35" s="178"/>
      <c r="I35" s="166"/>
      <c r="J35" s="192">
        <f t="shared" si="22"/>
        <v>0</v>
      </c>
      <c r="K35" s="193"/>
      <c r="L35" s="179"/>
      <c r="M35" s="77">
        <f t="shared" si="23"/>
        <v>0</v>
      </c>
      <c r="N35" s="77">
        <f t="shared" ref="N35:P35" si="27">SUM(E35,H35,K35)</f>
        <v>0</v>
      </c>
      <c r="O35" s="77">
        <f t="shared" si="27"/>
        <v>0</v>
      </c>
      <c r="P35" s="59">
        <f t="shared" si="27"/>
        <v>0</v>
      </c>
    </row>
    <row r="36" ht="17.25" customHeight="1">
      <c r="A36" s="1"/>
      <c r="B36" s="67">
        <v>6.0</v>
      </c>
      <c r="C36" s="106" t="s">
        <v>43</v>
      </c>
      <c r="D36" s="75"/>
      <c r="E36" s="193"/>
      <c r="F36" s="166"/>
      <c r="G36" s="195">
        <v>1854.0</v>
      </c>
      <c r="H36" s="193"/>
      <c r="I36" s="166"/>
      <c r="J36" s="192">
        <f t="shared" si="22"/>
        <v>0</v>
      </c>
      <c r="K36" s="193"/>
      <c r="L36" s="179"/>
      <c r="M36" s="77">
        <f t="shared" si="23"/>
        <v>0</v>
      </c>
      <c r="N36" s="180">
        <f t="shared" ref="N36:P36" si="28">SUM(E36,H36,K36)</f>
        <v>0</v>
      </c>
      <c r="O36" s="77">
        <f t="shared" si="28"/>
        <v>0</v>
      </c>
      <c r="P36" s="105">
        <f t="shared" si="28"/>
        <v>1854</v>
      </c>
    </row>
    <row r="37" ht="17.25" customHeight="1">
      <c r="A37" s="1"/>
      <c r="B37" s="67"/>
      <c r="C37" s="106" t="s">
        <v>44</v>
      </c>
      <c r="D37" s="75"/>
      <c r="E37" s="70"/>
      <c r="F37" s="57"/>
      <c r="G37" s="109">
        <f>SUM(E37:F37)</f>
        <v>0</v>
      </c>
      <c r="H37" s="70"/>
      <c r="I37" s="57"/>
      <c r="J37" s="110">
        <f t="shared" si="22"/>
        <v>0</v>
      </c>
      <c r="K37" s="70"/>
      <c r="L37" s="53"/>
      <c r="M37" s="59">
        <f t="shared" si="23"/>
        <v>0</v>
      </c>
      <c r="N37" s="111">
        <f t="shared" ref="N37:P37" si="29">SUM(E37,H37,K37)</f>
        <v>0</v>
      </c>
      <c r="O37" s="59">
        <f t="shared" si="29"/>
        <v>0</v>
      </c>
      <c r="P37" s="59">
        <f t="shared" si="29"/>
        <v>0</v>
      </c>
    </row>
    <row r="38" ht="24.0" customHeight="1">
      <c r="A38" s="1"/>
      <c r="B38" s="112" t="s">
        <v>45</v>
      </c>
      <c r="C38" s="113"/>
      <c r="D38" s="114"/>
      <c r="E38" s="115">
        <f t="shared" ref="E38:P38" si="30">SUM(E15:E37)</f>
        <v>998</v>
      </c>
      <c r="F38" s="116">
        <f t="shared" si="30"/>
        <v>1064</v>
      </c>
      <c r="G38" s="115">
        <f t="shared" si="30"/>
        <v>31048</v>
      </c>
      <c r="H38" s="115">
        <f t="shared" si="30"/>
        <v>0</v>
      </c>
      <c r="I38" s="115">
        <f t="shared" si="30"/>
        <v>0</v>
      </c>
      <c r="J38" s="115">
        <f t="shared" si="30"/>
        <v>0</v>
      </c>
      <c r="K38" s="115">
        <f t="shared" si="30"/>
        <v>0</v>
      </c>
      <c r="L38" s="115">
        <f t="shared" si="30"/>
        <v>0</v>
      </c>
      <c r="M38" s="115">
        <f t="shared" si="30"/>
        <v>0</v>
      </c>
      <c r="N38" s="115">
        <f t="shared" si="30"/>
        <v>998</v>
      </c>
      <c r="O38" s="115">
        <f t="shared" si="30"/>
        <v>1064</v>
      </c>
      <c r="P38" s="115">
        <f t="shared" si="30"/>
        <v>31048</v>
      </c>
    </row>
    <row r="39" ht="15.75" customHeight="1">
      <c r="A39" s="1"/>
      <c r="B39" s="117" t="s">
        <v>46</v>
      </c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61"/>
    </row>
    <row r="40" ht="21.0" customHeight="1">
      <c r="A40" s="1"/>
      <c r="B40" s="118" t="s">
        <v>47</v>
      </c>
      <c r="C40" s="27"/>
      <c r="D40" s="27"/>
      <c r="E40" s="27"/>
      <c r="F40" s="27"/>
      <c r="G40" s="27"/>
      <c r="H40" s="27"/>
      <c r="I40" s="27"/>
      <c r="J40" s="56"/>
      <c r="K40" s="119"/>
      <c r="L40" s="119"/>
      <c r="M40" s="119"/>
      <c r="N40" s="119"/>
      <c r="O40" s="119"/>
      <c r="P40" s="119"/>
    </row>
    <row r="41" ht="21.0" customHeight="1">
      <c r="A41" s="1"/>
      <c r="B41" s="120" t="s">
        <v>9</v>
      </c>
      <c r="C41" s="56"/>
      <c r="D41" s="121">
        <v>45839.0</v>
      </c>
      <c r="E41" s="27"/>
      <c r="F41" s="27"/>
      <c r="G41" s="27"/>
      <c r="H41" s="27"/>
      <c r="I41" s="27"/>
      <c r="J41" s="56"/>
      <c r="K41" s="1"/>
      <c r="L41" s="1"/>
      <c r="M41" s="1"/>
      <c r="N41" s="1"/>
      <c r="O41" s="1"/>
      <c r="P41" s="1"/>
    </row>
    <row r="42" ht="21.0" customHeight="1">
      <c r="A42" s="1"/>
      <c r="B42" s="122"/>
      <c r="C42" s="123" t="s">
        <v>12</v>
      </c>
      <c r="D42" s="124" t="s">
        <v>17</v>
      </c>
      <c r="E42" s="125" t="s">
        <v>86</v>
      </c>
      <c r="F42" s="125" t="s">
        <v>87</v>
      </c>
      <c r="G42" s="125" t="s">
        <v>88</v>
      </c>
      <c r="H42" s="126" t="s">
        <v>51</v>
      </c>
      <c r="I42" s="126" t="s">
        <v>52</v>
      </c>
      <c r="J42" s="126" t="s">
        <v>53</v>
      </c>
      <c r="K42" s="1"/>
      <c r="L42" s="1"/>
      <c r="M42" s="1"/>
      <c r="N42" s="1"/>
      <c r="O42" s="1"/>
      <c r="P42" s="1"/>
    </row>
    <row r="43" ht="26.25" customHeight="1">
      <c r="A43" s="1"/>
      <c r="B43" s="34"/>
      <c r="C43" s="34"/>
      <c r="D43" s="34"/>
      <c r="E43" s="34"/>
      <c r="F43" s="34"/>
      <c r="G43" s="34"/>
      <c r="H43" s="34"/>
      <c r="I43" s="34"/>
      <c r="J43" s="34"/>
      <c r="K43" s="1"/>
      <c r="L43" s="1"/>
      <c r="M43" s="1"/>
      <c r="N43" s="1"/>
      <c r="O43" s="1"/>
      <c r="P43" s="1"/>
    </row>
    <row r="44" ht="47.25" customHeight="1">
      <c r="A44" s="1"/>
      <c r="B44" s="46"/>
      <c r="C44" s="46"/>
      <c r="D44" s="46"/>
      <c r="E44" s="46"/>
      <c r="F44" s="46"/>
      <c r="G44" s="46"/>
      <c r="H44" s="46"/>
      <c r="I44" s="46"/>
      <c r="J44" s="46"/>
      <c r="K44" s="1"/>
      <c r="L44" s="1"/>
      <c r="M44" s="1"/>
      <c r="N44" s="1"/>
      <c r="O44" s="1"/>
      <c r="P44" s="1"/>
    </row>
    <row r="45" ht="21.0" customHeight="1">
      <c r="A45" s="1"/>
      <c r="B45" s="53">
        <v>1.0</v>
      </c>
      <c r="C45" s="127" t="s">
        <v>54</v>
      </c>
      <c r="D45" s="57"/>
      <c r="E45" s="57"/>
      <c r="F45" s="81">
        <v>424.0</v>
      </c>
      <c r="G45" s="81">
        <v>212.0</v>
      </c>
      <c r="H45" s="57"/>
      <c r="I45" s="57"/>
      <c r="J45" s="57"/>
      <c r="K45" s="1"/>
      <c r="L45" s="1"/>
      <c r="M45" s="1"/>
      <c r="N45" s="1"/>
      <c r="O45" s="1"/>
      <c r="P45" s="1"/>
    </row>
    <row r="46" ht="27.0" customHeight="1">
      <c r="A46" s="128"/>
      <c r="B46" s="129">
        <v>2.0</v>
      </c>
      <c r="C46" s="73" t="s">
        <v>27</v>
      </c>
      <c r="D46" s="130"/>
      <c r="E46" s="149">
        <v>18.0</v>
      </c>
      <c r="F46" s="149">
        <v>18.0</v>
      </c>
      <c r="G46" s="149">
        <v>6.0</v>
      </c>
      <c r="H46" s="131"/>
      <c r="I46" s="131"/>
      <c r="J46" s="131"/>
      <c r="K46" s="132"/>
      <c r="L46" s="132"/>
      <c r="M46" s="132"/>
      <c r="N46" s="132"/>
      <c r="O46" s="132"/>
      <c r="P46" s="132"/>
    </row>
    <row r="47" ht="21.0" customHeight="1">
      <c r="A47" s="1"/>
      <c r="B47" s="53">
        <v>3.0</v>
      </c>
      <c r="C47" s="133" t="s">
        <v>55</v>
      </c>
      <c r="D47" s="57"/>
      <c r="E47" s="150" t="s">
        <v>23</v>
      </c>
      <c r="F47" s="27"/>
      <c r="G47" s="56"/>
      <c r="H47" s="57"/>
      <c r="I47" s="57"/>
      <c r="J47" s="57"/>
      <c r="K47" s="1"/>
      <c r="L47" s="1"/>
      <c r="M47" s="1"/>
      <c r="N47" s="1"/>
      <c r="O47" s="1"/>
      <c r="P47" s="1"/>
    </row>
    <row r="48" ht="21.0" customHeight="1">
      <c r="A48" s="1"/>
      <c r="B48" s="53">
        <v>4.0</v>
      </c>
      <c r="C48" s="133" t="s">
        <v>56</v>
      </c>
      <c r="D48" s="57"/>
      <c r="E48" s="81">
        <v>296.0</v>
      </c>
      <c r="F48" s="81">
        <v>461.0</v>
      </c>
      <c r="G48" s="81">
        <v>246.0</v>
      </c>
      <c r="H48" s="57"/>
      <c r="I48" s="57"/>
      <c r="J48" s="57"/>
      <c r="K48" s="1"/>
      <c r="L48" s="1"/>
      <c r="M48" s="1"/>
      <c r="N48" s="1"/>
      <c r="O48" s="1"/>
      <c r="P48" s="1"/>
    </row>
    <row r="49" ht="21.0" customHeight="1">
      <c r="A49" s="1"/>
      <c r="B49" s="53">
        <v>5.0</v>
      </c>
      <c r="C49" s="127" t="s">
        <v>57</v>
      </c>
      <c r="D49" s="135"/>
      <c r="E49" s="55" t="s">
        <v>23</v>
      </c>
      <c r="F49" s="27"/>
      <c r="G49" s="56"/>
      <c r="H49" s="53"/>
      <c r="I49" s="53"/>
      <c r="J49" s="53"/>
      <c r="K49" s="1"/>
      <c r="L49" s="1"/>
      <c r="M49" s="1"/>
      <c r="N49" s="1"/>
      <c r="O49" s="1"/>
      <c r="P49" s="1"/>
    </row>
    <row r="50" ht="21.0" customHeight="1">
      <c r="A50" s="1"/>
      <c r="B50" s="53">
        <v>6.0</v>
      </c>
      <c r="C50" s="133" t="s">
        <v>58</v>
      </c>
      <c r="D50" s="57"/>
      <c r="E50" s="55" t="s">
        <v>23</v>
      </c>
      <c r="F50" s="27"/>
      <c r="G50" s="56"/>
      <c r="H50" s="57"/>
      <c r="I50" s="57"/>
      <c r="J50" s="57"/>
      <c r="K50" s="1"/>
      <c r="L50" s="1"/>
      <c r="M50" s="1"/>
      <c r="N50" s="1"/>
      <c r="O50" s="1"/>
      <c r="P50" s="1"/>
    </row>
    <row r="51" ht="21.0" customHeight="1">
      <c r="A51" s="1"/>
      <c r="B51" s="53">
        <v>7.0</v>
      </c>
      <c r="C51" s="137" t="s">
        <v>59</v>
      </c>
      <c r="D51" s="57"/>
      <c r="E51" s="55" t="s">
        <v>23</v>
      </c>
      <c r="F51" s="27"/>
      <c r="G51" s="56"/>
      <c r="H51" s="57"/>
      <c r="I51" s="57"/>
      <c r="J51" s="57"/>
      <c r="K51" s="1"/>
      <c r="L51" s="1"/>
      <c r="M51" s="1"/>
      <c r="N51" s="1"/>
      <c r="O51" s="1"/>
      <c r="P51" s="1"/>
    </row>
    <row r="52" ht="21.0" customHeight="1">
      <c r="A52" s="1"/>
      <c r="B52" s="53">
        <v>8.0</v>
      </c>
      <c r="C52" s="133" t="s">
        <v>60</v>
      </c>
      <c r="D52" s="57"/>
      <c r="E52" s="55" t="s">
        <v>23</v>
      </c>
      <c r="F52" s="27"/>
      <c r="G52" s="56"/>
      <c r="H52" s="57"/>
      <c r="I52" s="57"/>
      <c r="J52" s="57"/>
      <c r="K52" s="1"/>
      <c r="L52" s="1"/>
      <c r="M52" s="1"/>
      <c r="N52" s="1"/>
      <c r="O52" s="1"/>
      <c r="P52" s="1"/>
    </row>
    <row r="53" ht="21.0" customHeight="1">
      <c r="A53" s="1"/>
      <c r="B53" s="53">
        <v>9.0</v>
      </c>
      <c r="C53" s="133" t="s">
        <v>85</v>
      </c>
      <c r="D53" s="57"/>
      <c r="E53" s="81">
        <v>13.0</v>
      </c>
      <c r="F53" s="81">
        <v>17.0</v>
      </c>
      <c r="G53" s="81">
        <v>30.0</v>
      </c>
      <c r="H53" s="57"/>
      <c r="I53" s="57"/>
      <c r="J53" s="57"/>
      <c r="K53" s="1"/>
      <c r="L53" s="1"/>
      <c r="M53" s="1"/>
      <c r="N53" s="1"/>
      <c r="O53" s="1"/>
      <c r="P53" s="1"/>
    </row>
    <row r="54" ht="21.0" customHeight="1">
      <c r="A54" s="1"/>
      <c r="B54" s="196">
        <v>10.0</v>
      </c>
      <c r="C54" s="133" t="s">
        <v>61</v>
      </c>
      <c r="D54" s="57"/>
      <c r="E54" s="81">
        <v>166.0</v>
      </c>
      <c r="F54" s="81">
        <v>166.0</v>
      </c>
      <c r="G54" s="81">
        <v>94.0</v>
      </c>
      <c r="H54" s="57"/>
      <c r="I54" s="57"/>
      <c r="J54" s="57"/>
      <c r="K54" s="1"/>
      <c r="L54" s="1"/>
      <c r="M54" s="1"/>
      <c r="N54" s="1"/>
      <c r="O54" s="1"/>
      <c r="P54" s="1"/>
    </row>
    <row r="55" ht="21.0" customHeight="1">
      <c r="A55" s="1"/>
      <c r="B55" s="138" t="s">
        <v>45</v>
      </c>
      <c r="C55" s="56"/>
      <c r="D55" s="139"/>
      <c r="E55" s="140">
        <f t="shared" ref="E55:G55" si="31">SUM(E45:E54)</f>
        <v>493</v>
      </c>
      <c r="F55" s="140">
        <f t="shared" si="31"/>
        <v>1086</v>
      </c>
      <c r="G55" s="140">
        <f t="shared" si="31"/>
        <v>588</v>
      </c>
      <c r="H55" s="140"/>
      <c r="I55" s="140"/>
      <c r="J55" s="140"/>
      <c r="K55" s="1"/>
      <c r="L55" s="1"/>
      <c r="M55" s="1"/>
      <c r="N55" s="1"/>
      <c r="O55" s="1"/>
      <c r="P55" s="1"/>
    </row>
    <row r="56" ht="21.0" customHeight="1">
      <c r="A56" s="1"/>
      <c r="B56" s="117" t="s">
        <v>62</v>
      </c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</row>
    <row r="57" ht="15.0" customHeight="1">
      <c r="A57" s="1"/>
      <c r="B57" s="117" t="s">
        <v>63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</row>
    <row r="58" ht="13.5" customHeight="1">
      <c r="A58" s="1"/>
      <c r="B58" s="117" t="s">
        <v>64</v>
      </c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</row>
  </sheetData>
  <mergeCells count="38">
    <mergeCell ref="N11:P13"/>
    <mergeCell ref="K12:M13"/>
    <mergeCell ref="E13:G13"/>
    <mergeCell ref="H13:J13"/>
    <mergeCell ref="H4:I4"/>
    <mergeCell ref="B10:P10"/>
    <mergeCell ref="B11:C11"/>
    <mergeCell ref="E11:M11"/>
    <mergeCell ref="B12:B14"/>
    <mergeCell ref="C12:C14"/>
    <mergeCell ref="E12:J12"/>
    <mergeCell ref="D15:F15"/>
    <mergeCell ref="D16:F16"/>
    <mergeCell ref="D20:F20"/>
    <mergeCell ref="D21:F21"/>
    <mergeCell ref="D22:F22"/>
    <mergeCell ref="D23:F23"/>
    <mergeCell ref="D31:F31"/>
    <mergeCell ref="D42:D44"/>
    <mergeCell ref="E42:E44"/>
    <mergeCell ref="B55:C55"/>
    <mergeCell ref="F42:F44"/>
    <mergeCell ref="G42:G44"/>
    <mergeCell ref="E47:G47"/>
    <mergeCell ref="E49:G49"/>
    <mergeCell ref="E50:G50"/>
    <mergeCell ref="E51:G51"/>
    <mergeCell ref="E52:G52"/>
    <mergeCell ref="H42:H44"/>
    <mergeCell ref="I42:I44"/>
    <mergeCell ref="D35:F35"/>
    <mergeCell ref="B38:C38"/>
    <mergeCell ref="B40:J40"/>
    <mergeCell ref="B41:C41"/>
    <mergeCell ref="D41:J41"/>
    <mergeCell ref="B42:B44"/>
    <mergeCell ref="C42:C44"/>
    <mergeCell ref="J42:J44"/>
  </mergeCells>
  <printOptions horizontalCentered="1"/>
  <pageMargins bottom="0.2018111254851229" footer="0.0" header="0.0" left="0.5213454075032341" right="0.5213454075032341" top="0.0"/>
  <pageSetup fitToHeight="0" paperSize="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 fitToPage="1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5.63"/>
    <col customWidth="1" min="3" max="3" width="32.38"/>
    <col customWidth="1" min="4" max="4" width="9.13"/>
    <col customWidth="1" min="5" max="14" width="7.63"/>
    <col customWidth="1" min="15" max="15" width="10.38"/>
    <col customWidth="1" min="16" max="16" width="10.75"/>
  </cols>
  <sheetData>
    <row r="1" ht="13.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 t="s">
        <v>1</v>
      </c>
    </row>
    <row r="2" ht="14.25" customHeight="1">
      <c r="A2" s="1"/>
      <c r="B2" s="3" t="s">
        <v>2</v>
      </c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8.25" customHeight="1">
      <c r="A3" s="1"/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5.75" customHeight="1">
      <c r="A4" s="1"/>
      <c r="B4" s="1"/>
      <c r="C4" s="1"/>
      <c r="D4" s="1"/>
      <c r="E4" s="1"/>
      <c r="F4" s="4" t="s">
        <v>3</v>
      </c>
      <c r="G4" s="4"/>
      <c r="H4" s="141">
        <v>45870.0</v>
      </c>
      <c r="I4" s="6"/>
      <c r="J4" s="7"/>
      <c r="K4" s="7"/>
      <c r="L4" s="7"/>
      <c r="M4" s="7"/>
      <c r="N4" s="7"/>
      <c r="O4" s="7"/>
      <c r="P4" s="8"/>
    </row>
    <row r="5" ht="15.75" customHeight="1">
      <c r="A5" s="1"/>
      <c r="B5" s="1"/>
      <c r="C5" s="1"/>
      <c r="D5" s="1"/>
      <c r="E5" s="1"/>
      <c r="F5" s="4" t="s">
        <v>4</v>
      </c>
      <c r="G5" s="4"/>
      <c r="H5" s="9" t="s">
        <v>5</v>
      </c>
      <c r="I5" s="9"/>
      <c r="J5" s="9"/>
      <c r="K5" s="9"/>
      <c r="L5" s="9"/>
      <c r="M5" s="9"/>
      <c r="N5" s="9"/>
      <c r="O5" s="9"/>
      <c r="P5" s="8"/>
    </row>
    <row r="6" ht="15.75" customHeight="1">
      <c r="A6" s="1"/>
      <c r="B6" s="1"/>
      <c r="C6" s="1"/>
      <c r="D6" s="1"/>
      <c r="E6" s="1"/>
      <c r="F6" s="4" t="s">
        <v>6</v>
      </c>
      <c r="G6" s="4"/>
      <c r="H6" s="7"/>
      <c r="I6" s="7"/>
      <c r="J6" s="7"/>
      <c r="K6" s="7"/>
      <c r="L6" s="7"/>
      <c r="M6" s="7"/>
      <c r="N6" s="7"/>
      <c r="O6" s="7"/>
      <c r="P6" s="8"/>
    </row>
    <row r="7" ht="15.75" customHeight="1">
      <c r="A7" s="1"/>
      <c r="B7" s="1"/>
      <c r="C7" s="1"/>
      <c r="D7" s="10"/>
      <c r="E7" s="10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ht="15.75" customHeight="1">
      <c r="A8" s="1"/>
      <c r="B8" s="1"/>
      <c r="C8" s="1"/>
      <c r="D8" s="4"/>
      <c r="E8" s="4" t="s">
        <v>7</v>
      </c>
      <c r="F8" s="11"/>
      <c r="G8" s="8"/>
      <c r="H8" s="10"/>
      <c r="I8" s="10"/>
      <c r="J8" s="10"/>
      <c r="K8" s="10"/>
      <c r="L8" s="10"/>
      <c r="M8" s="10"/>
      <c r="N8" s="10"/>
      <c r="O8" s="10"/>
      <c r="P8" s="1"/>
    </row>
    <row r="9" ht="17.25" customHeight="1">
      <c r="A9" s="1"/>
      <c r="B9" s="1"/>
      <c r="C9" s="1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ht="17.25" customHeight="1">
      <c r="A10" s="1"/>
      <c r="B10" s="12" t="s">
        <v>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ht="16.5" customHeight="1">
      <c r="A11" s="1"/>
      <c r="B11" s="14" t="s">
        <v>9</v>
      </c>
      <c r="C11" s="15"/>
      <c r="D11" s="16"/>
      <c r="E11" s="17" t="s">
        <v>10</v>
      </c>
      <c r="F11" s="18"/>
      <c r="G11" s="18"/>
      <c r="H11" s="18"/>
      <c r="I11" s="18"/>
      <c r="J11" s="18"/>
      <c r="K11" s="18"/>
      <c r="L11" s="18"/>
      <c r="M11" s="19"/>
      <c r="N11" s="20" t="s">
        <v>11</v>
      </c>
      <c r="O11" s="21"/>
      <c r="P11" s="22"/>
    </row>
    <row r="12" ht="15.0" customHeight="1">
      <c r="A12" s="1"/>
      <c r="B12" s="23"/>
      <c r="C12" s="24" t="s">
        <v>12</v>
      </c>
      <c r="D12" s="25"/>
      <c r="E12" s="26" t="s">
        <v>13</v>
      </c>
      <c r="F12" s="27"/>
      <c r="G12" s="27"/>
      <c r="H12" s="27"/>
      <c r="I12" s="27"/>
      <c r="J12" s="27"/>
      <c r="K12" s="28" t="s">
        <v>14</v>
      </c>
      <c r="L12" s="29"/>
      <c r="M12" s="30"/>
      <c r="N12" s="31"/>
      <c r="P12" s="32"/>
    </row>
    <row r="13" ht="28.5" customHeight="1">
      <c r="A13" s="1"/>
      <c r="B13" s="33"/>
      <c r="C13" s="34"/>
      <c r="D13" s="35"/>
      <c r="E13" s="36" t="s">
        <v>15</v>
      </c>
      <c r="F13" s="37"/>
      <c r="G13" s="38"/>
      <c r="H13" s="36" t="s">
        <v>16</v>
      </c>
      <c r="I13" s="37"/>
      <c r="J13" s="38"/>
      <c r="K13" s="39"/>
      <c r="L13" s="40"/>
      <c r="M13" s="41"/>
      <c r="N13" s="42"/>
      <c r="O13" s="43"/>
      <c r="P13" s="44"/>
    </row>
    <row r="14" ht="36.75" customHeight="1">
      <c r="A14" s="1"/>
      <c r="B14" s="45"/>
      <c r="C14" s="46"/>
      <c r="D14" s="162" t="s">
        <v>17</v>
      </c>
      <c r="E14" s="163" t="s">
        <v>18</v>
      </c>
      <c r="F14" s="164" t="s">
        <v>19</v>
      </c>
      <c r="G14" s="50" t="s">
        <v>20</v>
      </c>
      <c r="H14" s="48" t="s">
        <v>18</v>
      </c>
      <c r="I14" s="51" t="s">
        <v>19</v>
      </c>
      <c r="J14" s="50" t="s">
        <v>20</v>
      </c>
      <c r="K14" s="48" t="s">
        <v>21</v>
      </c>
      <c r="L14" s="51" t="s">
        <v>19</v>
      </c>
      <c r="M14" s="52" t="s">
        <v>20</v>
      </c>
      <c r="N14" s="50" t="s">
        <v>18</v>
      </c>
      <c r="O14" s="50" t="s">
        <v>19</v>
      </c>
      <c r="P14" s="50" t="s">
        <v>20</v>
      </c>
    </row>
    <row r="15" ht="17.25" customHeight="1">
      <c r="A15" s="1"/>
      <c r="B15" s="53">
        <v>1.0</v>
      </c>
      <c r="C15" s="54" t="s">
        <v>22</v>
      </c>
      <c r="D15" s="55" t="s">
        <v>23</v>
      </c>
      <c r="E15" s="27"/>
      <c r="F15" s="56"/>
      <c r="G15" s="81">
        <v>0.0</v>
      </c>
      <c r="H15" s="70"/>
      <c r="I15" s="57"/>
      <c r="J15" s="81">
        <v>0.0</v>
      </c>
      <c r="K15" s="107">
        <v>0.0</v>
      </c>
      <c r="L15" s="197">
        <v>0.0</v>
      </c>
      <c r="M15" s="57">
        <f t="shared" ref="M15:M29" si="2">SUM(K15:L15)</f>
        <v>0</v>
      </c>
      <c r="N15" s="57">
        <f t="shared" ref="N15:P15" si="1">SUM(E15,H15,K15)</f>
        <v>0</v>
      </c>
      <c r="O15" s="57">
        <f t="shared" si="1"/>
        <v>0</v>
      </c>
      <c r="P15" s="57">
        <f t="shared" si="1"/>
        <v>0</v>
      </c>
    </row>
    <row r="16" ht="17.25" customHeight="1">
      <c r="A16" s="1"/>
      <c r="B16" s="60">
        <v>2.0</v>
      </c>
      <c r="C16" s="198" t="s">
        <v>24</v>
      </c>
      <c r="D16" s="55" t="s">
        <v>23</v>
      </c>
      <c r="E16" s="27"/>
      <c r="F16" s="56"/>
      <c r="G16" s="81">
        <v>0.0</v>
      </c>
      <c r="H16" s="70"/>
      <c r="I16" s="57"/>
      <c r="J16" s="81">
        <v>0.0</v>
      </c>
      <c r="K16" s="107">
        <v>0.0</v>
      </c>
      <c r="L16" s="197">
        <v>0.0</v>
      </c>
      <c r="M16" s="57">
        <f t="shared" si="2"/>
        <v>0</v>
      </c>
      <c r="N16" s="57">
        <f t="shared" ref="N16:P16" si="3">SUM(E16,H16,K16)</f>
        <v>0</v>
      </c>
      <c r="O16" s="57">
        <f t="shared" si="3"/>
        <v>0</v>
      </c>
      <c r="P16" s="57">
        <f t="shared" si="3"/>
        <v>0</v>
      </c>
    </row>
    <row r="17" ht="17.25" customHeight="1">
      <c r="A17" s="1"/>
      <c r="B17" s="67">
        <v>3.0</v>
      </c>
      <c r="C17" s="54" t="s">
        <v>25</v>
      </c>
      <c r="D17" s="77"/>
      <c r="E17" s="107">
        <v>49.0</v>
      </c>
      <c r="F17" s="81">
        <v>47.0</v>
      </c>
      <c r="G17" s="81">
        <v>96.0</v>
      </c>
      <c r="H17" s="70"/>
      <c r="I17" s="57"/>
      <c r="J17" s="81">
        <v>0.0</v>
      </c>
      <c r="K17" s="107">
        <v>0.0</v>
      </c>
      <c r="L17" s="197">
        <v>0.0</v>
      </c>
      <c r="M17" s="57">
        <f t="shared" si="2"/>
        <v>0</v>
      </c>
      <c r="N17" s="57">
        <f t="shared" ref="N17:P17" si="4">SUM(E17,H17,K17)</f>
        <v>49</v>
      </c>
      <c r="O17" s="57">
        <f t="shared" si="4"/>
        <v>47</v>
      </c>
      <c r="P17" s="57">
        <f t="shared" si="4"/>
        <v>96</v>
      </c>
    </row>
    <row r="18" ht="17.25" customHeight="1">
      <c r="A18" s="1"/>
      <c r="B18" s="67">
        <v>4.0</v>
      </c>
      <c r="C18" s="54" t="s">
        <v>26</v>
      </c>
      <c r="D18" s="77"/>
      <c r="E18" s="107">
        <v>128.0</v>
      </c>
      <c r="F18" s="81">
        <v>126.0</v>
      </c>
      <c r="G18" s="81">
        <v>254.0</v>
      </c>
      <c r="H18" s="70"/>
      <c r="I18" s="57"/>
      <c r="J18" s="81">
        <v>0.0</v>
      </c>
      <c r="K18" s="107">
        <v>0.0</v>
      </c>
      <c r="L18" s="197">
        <v>0.0</v>
      </c>
      <c r="M18" s="57">
        <f t="shared" si="2"/>
        <v>0</v>
      </c>
      <c r="N18" s="57">
        <f t="shared" ref="N18:P18" si="5">SUM(E18,H18,K18)</f>
        <v>128</v>
      </c>
      <c r="O18" s="57">
        <f t="shared" si="5"/>
        <v>126</v>
      </c>
      <c r="P18" s="57">
        <f t="shared" si="5"/>
        <v>254</v>
      </c>
    </row>
    <row r="19" ht="17.25" customHeight="1">
      <c r="A19" s="1"/>
      <c r="B19" s="67">
        <v>5.0</v>
      </c>
      <c r="C19" s="73" t="s">
        <v>27</v>
      </c>
      <c r="D19" s="77"/>
      <c r="E19" s="107"/>
      <c r="F19" s="81"/>
      <c r="G19" s="81">
        <v>60.0</v>
      </c>
      <c r="H19" s="70"/>
      <c r="I19" s="57"/>
      <c r="J19" s="81">
        <v>0.0</v>
      </c>
      <c r="K19" s="107">
        <v>0.0</v>
      </c>
      <c r="L19" s="197">
        <v>0.0</v>
      </c>
      <c r="M19" s="57">
        <f t="shared" si="2"/>
        <v>0</v>
      </c>
      <c r="N19" s="57">
        <f t="shared" ref="N19:P19" si="6">SUM(E19,H19,K19)</f>
        <v>0</v>
      </c>
      <c r="O19" s="57">
        <f t="shared" si="6"/>
        <v>0</v>
      </c>
      <c r="P19" s="57">
        <f t="shared" si="6"/>
        <v>60</v>
      </c>
    </row>
    <row r="20" ht="17.25" customHeight="1">
      <c r="A20" s="1"/>
      <c r="B20" s="67">
        <v>6.0</v>
      </c>
      <c r="C20" s="54" t="s">
        <v>28</v>
      </c>
      <c r="D20" s="55" t="s">
        <v>23</v>
      </c>
      <c r="E20" s="27"/>
      <c r="F20" s="56"/>
      <c r="G20" s="81">
        <v>0.0</v>
      </c>
      <c r="H20" s="70"/>
      <c r="I20" s="57"/>
      <c r="J20" s="81">
        <v>0.0</v>
      </c>
      <c r="K20" s="107">
        <v>0.0</v>
      </c>
      <c r="L20" s="197">
        <v>0.0</v>
      </c>
      <c r="M20" s="57">
        <f t="shared" si="2"/>
        <v>0</v>
      </c>
      <c r="N20" s="57">
        <f t="shared" ref="N20:P20" si="7">SUM(E20,H20,K20)</f>
        <v>0</v>
      </c>
      <c r="O20" s="57">
        <f t="shared" si="7"/>
        <v>0</v>
      </c>
      <c r="P20" s="57">
        <f t="shared" si="7"/>
        <v>0</v>
      </c>
    </row>
    <row r="21" ht="17.25" customHeight="1">
      <c r="A21" s="1"/>
      <c r="B21" s="67">
        <v>7.0</v>
      </c>
      <c r="C21" s="54" t="s">
        <v>29</v>
      </c>
      <c r="D21" s="55" t="s">
        <v>23</v>
      </c>
      <c r="E21" s="27"/>
      <c r="F21" s="56"/>
      <c r="G21" s="81">
        <v>0.0</v>
      </c>
      <c r="H21" s="70"/>
      <c r="I21" s="57"/>
      <c r="J21" s="81">
        <v>0.0</v>
      </c>
      <c r="K21" s="107">
        <v>0.0</v>
      </c>
      <c r="L21" s="197">
        <v>0.0</v>
      </c>
      <c r="M21" s="57">
        <f t="shared" si="2"/>
        <v>0</v>
      </c>
      <c r="N21" s="57">
        <f t="shared" ref="N21:P21" si="8">SUM(E21,H21,K21)</f>
        <v>0</v>
      </c>
      <c r="O21" s="57">
        <f t="shared" si="8"/>
        <v>0</v>
      </c>
      <c r="P21" s="57">
        <f t="shared" si="8"/>
        <v>0</v>
      </c>
    </row>
    <row r="22" ht="17.25" customHeight="1">
      <c r="A22" s="1"/>
      <c r="B22" s="67">
        <v>8.0</v>
      </c>
      <c r="C22" s="54" t="s">
        <v>30</v>
      </c>
      <c r="D22" s="199" t="s">
        <v>23</v>
      </c>
      <c r="E22" s="27"/>
      <c r="F22" s="56"/>
      <c r="G22" s="81">
        <v>0.0</v>
      </c>
      <c r="H22" s="70"/>
      <c r="I22" s="57"/>
      <c r="J22" s="81">
        <v>0.0</v>
      </c>
      <c r="K22" s="107">
        <v>0.0</v>
      </c>
      <c r="L22" s="197">
        <v>0.0</v>
      </c>
      <c r="M22" s="57">
        <f t="shared" si="2"/>
        <v>0</v>
      </c>
      <c r="N22" s="57">
        <f t="shared" ref="N22:P22" si="9">SUM(E22,H22,K22)</f>
        <v>0</v>
      </c>
      <c r="O22" s="57">
        <f t="shared" si="9"/>
        <v>0</v>
      </c>
      <c r="P22" s="57">
        <f t="shared" si="9"/>
        <v>0</v>
      </c>
    </row>
    <row r="23" ht="17.25" customHeight="1">
      <c r="A23" s="1"/>
      <c r="B23" s="67">
        <v>9.0</v>
      </c>
      <c r="C23" s="54" t="s">
        <v>31</v>
      </c>
      <c r="D23" s="55" t="s">
        <v>23</v>
      </c>
      <c r="E23" s="27"/>
      <c r="F23" s="56"/>
      <c r="G23" s="81">
        <v>0.0</v>
      </c>
      <c r="H23" s="70"/>
      <c r="I23" s="57"/>
      <c r="J23" s="81">
        <v>0.0</v>
      </c>
      <c r="K23" s="107">
        <v>0.0</v>
      </c>
      <c r="L23" s="197">
        <v>0.0</v>
      </c>
      <c r="M23" s="57">
        <f t="shared" si="2"/>
        <v>0</v>
      </c>
      <c r="N23" s="57">
        <f t="shared" ref="N23:P23" si="10">SUM(E23,H23,K23)</f>
        <v>0</v>
      </c>
      <c r="O23" s="57">
        <f t="shared" si="10"/>
        <v>0</v>
      </c>
      <c r="P23" s="57">
        <f t="shared" si="10"/>
        <v>0</v>
      </c>
    </row>
    <row r="24" ht="17.25" customHeight="1">
      <c r="A24" s="1"/>
      <c r="B24" s="67">
        <v>10.0</v>
      </c>
      <c r="C24" s="146" t="s">
        <v>32</v>
      </c>
      <c r="D24" s="55" t="s">
        <v>23</v>
      </c>
      <c r="E24" s="27"/>
      <c r="F24" s="56"/>
      <c r="G24" s="81">
        <v>0.0</v>
      </c>
      <c r="H24" s="70"/>
      <c r="I24" s="57"/>
      <c r="J24" s="81">
        <v>0.0</v>
      </c>
      <c r="K24" s="107">
        <v>0.0</v>
      </c>
      <c r="L24" s="197">
        <v>0.0</v>
      </c>
      <c r="M24" s="57">
        <f t="shared" si="2"/>
        <v>0</v>
      </c>
      <c r="N24" s="57">
        <f t="shared" ref="N24:P24" si="11">SUM(E24,H24,K24)</f>
        <v>0</v>
      </c>
      <c r="O24" s="57">
        <f t="shared" si="11"/>
        <v>0</v>
      </c>
      <c r="P24" s="57">
        <f t="shared" si="11"/>
        <v>0</v>
      </c>
    </row>
    <row r="25" ht="17.25" customHeight="1">
      <c r="A25" s="1"/>
      <c r="B25" s="67">
        <v>11.0</v>
      </c>
      <c r="C25" s="54" t="s">
        <v>65</v>
      </c>
      <c r="D25" s="159"/>
      <c r="E25" s="200">
        <v>32.0</v>
      </c>
      <c r="F25" s="201">
        <v>25.0</v>
      </c>
      <c r="G25" s="201">
        <v>57.0</v>
      </c>
      <c r="H25" s="70"/>
      <c r="I25" s="57"/>
      <c r="J25" s="81">
        <v>0.0</v>
      </c>
      <c r="K25" s="107">
        <v>0.0</v>
      </c>
      <c r="L25" s="197">
        <v>0.0</v>
      </c>
      <c r="M25" s="57">
        <f t="shared" si="2"/>
        <v>0</v>
      </c>
      <c r="N25" s="57">
        <f t="shared" ref="N25:P25" si="12">SUM(E25,H25,K25)</f>
        <v>32</v>
      </c>
      <c r="O25" s="57">
        <f t="shared" si="12"/>
        <v>25</v>
      </c>
      <c r="P25" s="57">
        <f t="shared" si="12"/>
        <v>57</v>
      </c>
    </row>
    <row r="26" ht="17.25" customHeight="1">
      <c r="A26" s="1"/>
      <c r="B26" s="67">
        <v>12.0</v>
      </c>
      <c r="C26" s="54" t="s">
        <v>66</v>
      </c>
      <c r="D26" s="71"/>
      <c r="E26" s="107">
        <v>84.0</v>
      </c>
      <c r="F26" s="81">
        <v>72.0</v>
      </c>
      <c r="G26" s="81">
        <v>156.0</v>
      </c>
      <c r="H26" s="70"/>
      <c r="I26" s="57"/>
      <c r="J26" s="81">
        <v>0.0</v>
      </c>
      <c r="K26" s="107">
        <v>0.0</v>
      </c>
      <c r="L26" s="197">
        <v>0.0</v>
      </c>
      <c r="M26" s="57">
        <f t="shared" si="2"/>
        <v>0</v>
      </c>
      <c r="N26" s="57">
        <f t="shared" ref="N26:P26" si="13">SUM(E26,H26,K26)</f>
        <v>84</v>
      </c>
      <c r="O26" s="57">
        <f t="shared" si="13"/>
        <v>72</v>
      </c>
      <c r="P26" s="57">
        <f t="shared" si="13"/>
        <v>156</v>
      </c>
    </row>
    <row r="27" ht="17.25" customHeight="1">
      <c r="A27" s="1"/>
      <c r="B27" s="67">
        <v>13.0</v>
      </c>
      <c r="C27" s="54" t="s">
        <v>35</v>
      </c>
      <c r="D27" s="74"/>
      <c r="E27" s="107">
        <v>418.0</v>
      </c>
      <c r="F27" s="81">
        <v>511.0</v>
      </c>
      <c r="G27" s="81">
        <v>929.0</v>
      </c>
      <c r="H27" s="70"/>
      <c r="I27" s="57"/>
      <c r="J27" s="81">
        <v>0.0</v>
      </c>
      <c r="K27" s="107">
        <v>0.0</v>
      </c>
      <c r="L27" s="197">
        <v>0.0</v>
      </c>
      <c r="M27" s="57">
        <f t="shared" si="2"/>
        <v>0</v>
      </c>
      <c r="N27" s="57">
        <f t="shared" ref="N27:P27" si="14">SUM(E27,H27,K27)</f>
        <v>418</v>
      </c>
      <c r="O27" s="57">
        <f t="shared" si="14"/>
        <v>511</v>
      </c>
      <c r="P27" s="57">
        <f t="shared" si="14"/>
        <v>929</v>
      </c>
    </row>
    <row r="28" ht="17.25" customHeight="1">
      <c r="A28" s="1"/>
      <c r="B28" s="67">
        <v>14.0</v>
      </c>
      <c r="C28" s="54" t="s">
        <v>36</v>
      </c>
      <c r="D28" s="75"/>
      <c r="E28" s="107">
        <v>101.0</v>
      </c>
      <c r="F28" s="81">
        <v>52.0</v>
      </c>
      <c r="G28" s="57">
        <f>SUM(E28:F28)</f>
        <v>153</v>
      </c>
      <c r="H28" s="70"/>
      <c r="I28" s="57"/>
      <c r="J28" s="57">
        <f t="shared" ref="J28:J29" si="16">SUM(H28:I28)</f>
        <v>0</v>
      </c>
      <c r="K28" s="107">
        <v>0.0</v>
      </c>
      <c r="L28" s="197">
        <v>0.0</v>
      </c>
      <c r="M28" s="57">
        <f t="shared" si="2"/>
        <v>0</v>
      </c>
      <c r="N28" s="57">
        <f t="shared" ref="N28:P28" si="15">SUM(E28,H28,K28)</f>
        <v>101</v>
      </c>
      <c r="O28" s="57">
        <f t="shared" si="15"/>
        <v>52</v>
      </c>
      <c r="P28" s="57">
        <f t="shared" si="15"/>
        <v>153</v>
      </c>
    </row>
    <row r="29" ht="17.25" customHeight="1">
      <c r="A29" s="1"/>
      <c r="B29" s="176">
        <v>15.0</v>
      </c>
      <c r="C29" s="133" t="s">
        <v>85</v>
      </c>
      <c r="D29" s="75"/>
      <c r="E29" s="107">
        <v>23.0</v>
      </c>
      <c r="F29" s="81">
        <v>32.0</v>
      </c>
      <c r="G29" s="81">
        <v>56.0</v>
      </c>
      <c r="H29" s="70"/>
      <c r="I29" s="57"/>
      <c r="J29" s="57">
        <f t="shared" si="16"/>
        <v>0</v>
      </c>
      <c r="K29" s="107">
        <v>0.0</v>
      </c>
      <c r="L29" s="197">
        <v>0.0</v>
      </c>
      <c r="M29" s="57">
        <f t="shared" si="2"/>
        <v>0</v>
      </c>
      <c r="N29" s="57">
        <f t="shared" ref="N29:P29" si="17">SUM(E29,H29,K29)</f>
        <v>23</v>
      </c>
      <c r="O29" s="57">
        <f t="shared" si="17"/>
        <v>32</v>
      </c>
      <c r="P29" s="57">
        <f t="shared" si="17"/>
        <v>56</v>
      </c>
    </row>
    <row r="30" ht="17.25" customHeight="1">
      <c r="A30" s="1"/>
      <c r="B30" s="83"/>
      <c r="C30" s="84" t="s">
        <v>37</v>
      </c>
      <c r="D30" s="85"/>
      <c r="E30" s="86"/>
      <c r="F30" s="87"/>
      <c r="G30" s="88"/>
      <c r="H30" s="86"/>
      <c r="I30" s="87"/>
      <c r="J30" s="88"/>
      <c r="K30" s="86"/>
      <c r="L30" s="89"/>
      <c r="M30" s="87"/>
      <c r="N30" s="87"/>
      <c r="O30" s="87"/>
      <c r="P30" s="87"/>
    </row>
    <row r="31" ht="17.25" customHeight="1">
      <c r="A31" s="1"/>
      <c r="B31" s="67">
        <v>1.0</v>
      </c>
      <c r="C31" s="90" t="s">
        <v>38</v>
      </c>
      <c r="D31" s="55" t="s">
        <v>23</v>
      </c>
      <c r="E31" s="27"/>
      <c r="F31" s="56"/>
      <c r="G31" s="81">
        <v>0.0</v>
      </c>
      <c r="H31" s="70"/>
      <c r="I31" s="57"/>
      <c r="J31" s="57">
        <f t="shared" ref="J31:J37" si="19">SUM(H31:I31)</f>
        <v>0</v>
      </c>
      <c r="K31" s="107">
        <v>0.0</v>
      </c>
      <c r="L31" s="197">
        <v>0.0</v>
      </c>
      <c r="M31" s="57">
        <f t="shared" ref="M31:M37" si="20">SUM(K31:L31)</f>
        <v>0</v>
      </c>
      <c r="N31" s="57">
        <f t="shared" ref="N31:P31" si="18">SUM(E31,H31,K31)</f>
        <v>0</v>
      </c>
      <c r="O31" s="57">
        <f t="shared" si="18"/>
        <v>0</v>
      </c>
      <c r="P31" s="57">
        <f t="shared" si="18"/>
        <v>0</v>
      </c>
    </row>
    <row r="32" ht="17.25" customHeight="1">
      <c r="A32" s="1"/>
      <c r="B32" s="67">
        <v>2.0</v>
      </c>
      <c r="C32" s="92" t="s">
        <v>39</v>
      </c>
      <c r="D32" s="93"/>
      <c r="E32" s="202"/>
      <c r="F32" s="96"/>
      <c r="G32" s="96">
        <v>16482.0</v>
      </c>
      <c r="H32" s="203"/>
      <c r="I32" s="98"/>
      <c r="J32" s="98">
        <f t="shared" si="19"/>
        <v>0</v>
      </c>
      <c r="K32" s="202">
        <v>0.0</v>
      </c>
      <c r="L32" s="204">
        <v>0.0</v>
      </c>
      <c r="M32" s="98">
        <f t="shared" si="20"/>
        <v>0</v>
      </c>
      <c r="N32" s="98">
        <f t="shared" ref="N32:P32" si="21">SUM(E32,H32,K32)</f>
        <v>0</v>
      </c>
      <c r="O32" s="95">
        <f t="shared" si="21"/>
        <v>0</v>
      </c>
      <c r="P32" s="95">
        <f t="shared" si="21"/>
        <v>16482</v>
      </c>
    </row>
    <row r="33" ht="17.25" customHeight="1">
      <c r="A33" s="1"/>
      <c r="B33" s="67">
        <v>3.0</v>
      </c>
      <c r="C33" s="101" t="s">
        <v>40</v>
      </c>
      <c r="D33" s="75"/>
      <c r="E33" s="107"/>
      <c r="F33" s="81"/>
      <c r="G33" s="104">
        <v>2356.0</v>
      </c>
      <c r="H33" s="70"/>
      <c r="I33" s="57"/>
      <c r="J33" s="57">
        <f t="shared" si="19"/>
        <v>0</v>
      </c>
      <c r="K33" s="107">
        <v>0.0</v>
      </c>
      <c r="L33" s="197">
        <v>0.0</v>
      </c>
      <c r="M33" s="57">
        <f t="shared" si="20"/>
        <v>0</v>
      </c>
      <c r="N33" s="57">
        <f t="shared" ref="N33:P33" si="22">SUM(E33,H33,K33)</f>
        <v>0</v>
      </c>
      <c r="O33" s="57">
        <f t="shared" si="22"/>
        <v>0</v>
      </c>
      <c r="P33" s="103">
        <f t="shared" si="22"/>
        <v>2356</v>
      </c>
    </row>
    <row r="34" ht="17.25" customHeight="1">
      <c r="A34" s="1"/>
      <c r="B34" s="67">
        <v>4.0</v>
      </c>
      <c r="C34" s="106" t="s">
        <v>41</v>
      </c>
      <c r="D34" s="75"/>
      <c r="E34" s="107"/>
      <c r="F34" s="81"/>
      <c r="G34" s="104">
        <v>12176.0</v>
      </c>
      <c r="H34" s="70"/>
      <c r="I34" s="57"/>
      <c r="J34" s="57">
        <f t="shared" si="19"/>
        <v>0</v>
      </c>
      <c r="K34" s="107">
        <v>0.0</v>
      </c>
      <c r="L34" s="197">
        <v>0.0</v>
      </c>
      <c r="M34" s="57">
        <f t="shared" si="20"/>
        <v>0</v>
      </c>
      <c r="N34" s="57">
        <f t="shared" ref="N34:P34" si="23">SUM(E34,H34,K34)</f>
        <v>0</v>
      </c>
      <c r="O34" s="57">
        <f t="shared" si="23"/>
        <v>0</v>
      </c>
      <c r="P34" s="103">
        <f t="shared" si="23"/>
        <v>12176</v>
      </c>
    </row>
    <row r="35" ht="17.25" customHeight="1">
      <c r="A35" s="1"/>
      <c r="B35" s="67">
        <v>5.0</v>
      </c>
      <c r="C35" s="106" t="s">
        <v>42</v>
      </c>
      <c r="D35" s="55" t="s">
        <v>23</v>
      </c>
      <c r="E35" s="27"/>
      <c r="F35" s="56"/>
      <c r="G35" s="81">
        <v>0.0</v>
      </c>
      <c r="H35" s="178"/>
      <c r="I35" s="166"/>
      <c r="J35" s="192">
        <f t="shared" si="19"/>
        <v>0</v>
      </c>
      <c r="K35" s="70"/>
      <c r="L35" s="53"/>
      <c r="M35" s="57">
        <f t="shared" si="20"/>
        <v>0</v>
      </c>
      <c r="N35" s="57">
        <f t="shared" ref="N35:P35" si="24">SUM(E35,H35,K35)</f>
        <v>0</v>
      </c>
      <c r="O35" s="57">
        <f t="shared" si="24"/>
        <v>0</v>
      </c>
      <c r="P35" s="57">
        <f t="shared" si="24"/>
        <v>0</v>
      </c>
    </row>
    <row r="36" ht="17.25" customHeight="1">
      <c r="A36" s="1"/>
      <c r="B36" s="67">
        <v>6.0</v>
      </c>
      <c r="C36" s="106" t="s">
        <v>43</v>
      </c>
      <c r="D36" s="75"/>
      <c r="E36" s="107"/>
      <c r="F36" s="81"/>
      <c r="G36" s="104">
        <v>2186.0</v>
      </c>
      <c r="H36" s="70"/>
      <c r="I36" s="57"/>
      <c r="J36" s="57">
        <f t="shared" si="19"/>
        <v>0</v>
      </c>
      <c r="K36" s="107">
        <v>0.0</v>
      </c>
      <c r="L36" s="197">
        <v>0.0</v>
      </c>
      <c r="M36" s="57">
        <f t="shared" si="20"/>
        <v>0</v>
      </c>
      <c r="N36" s="57">
        <f t="shared" ref="N36:P36" si="25">SUM(E36,H36,K36)</f>
        <v>0</v>
      </c>
      <c r="O36" s="57">
        <f t="shared" si="25"/>
        <v>0</v>
      </c>
      <c r="P36" s="103">
        <f t="shared" si="25"/>
        <v>2186</v>
      </c>
    </row>
    <row r="37" ht="17.25" customHeight="1">
      <c r="A37" s="1"/>
      <c r="B37" s="67"/>
      <c r="C37" s="106" t="s">
        <v>44</v>
      </c>
      <c r="D37" s="75"/>
      <c r="E37" s="70"/>
      <c r="F37" s="57"/>
      <c r="G37" s="109">
        <f>SUM(E37:F37)</f>
        <v>0</v>
      </c>
      <c r="H37" s="70"/>
      <c r="I37" s="57"/>
      <c r="J37" s="110">
        <f t="shared" si="19"/>
        <v>0</v>
      </c>
      <c r="K37" s="70"/>
      <c r="L37" s="53"/>
      <c r="M37" s="57">
        <f t="shared" si="20"/>
        <v>0</v>
      </c>
      <c r="N37" s="57">
        <f t="shared" ref="N37:P37" si="26">SUM(E37,H37,K37)</f>
        <v>0</v>
      </c>
      <c r="O37" s="57">
        <f t="shared" si="26"/>
        <v>0</v>
      </c>
      <c r="P37" s="57">
        <f t="shared" si="26"/>
        <v>0</v>
      </c>
    </row>
    <row r="38" ht="24.0" customHeight="1">
      <c r="A38" s="1"/>
      <c r="B38" s="112" t="s">
        <v>45</v>
      </c>
      <c r="C38" s="113"/>
      <c r="D38" s="114"/>
      <c r="E38" s="115">
        <f t="shared" ref="E38:P38" si="27">SUM(E15:E37)</f>
        <v>835</v>
      </c>
      <c r="F38" s="116">
        <f t="shared" si="27"/>
        <v>865</v>
      </c>
      <c r="G38" s="115">
        <f t="shared" si="27"/>
        <v>34961</v>
      </c>
      <c r="H38" s="115">
        <f t="shared" si="27"/>
        <v>0</v>
      </c>
      <c r="I38" s="115">
        <f t="shared" si="27"/>
        <v>0</v>
      </c>
      <c r="J38" s="115">
        <f t="shared" si="27"/>
        <v>0</v>
      </c>
      <c r="K38" s="115">
        <f t="shared" si="27"/>
        <v>0</v>
      </c>
      <c r="L38" s="115">
        <f t="shared" si="27"/>
        <v>0</v>
      </c>
      <c r="M38" s="115">
        <f t="shared" si="27"/>
        <v>0</v>
      </c>
      <c r="N38" s="115">
        <f t="shared" si="27"/>
        <v>835</v>
      </c>
      <c r="O38" s="115">
        <f t="shared" si="27"/>
        <v>865</v>
      </c>
      <c r="P38" s="115">
        <f t="shared" si="27"/>
        <v>34961</v>
      </c>
    </row>
    <row r="39" ht="15.75" customHeight="1">
      <c r="A39" s="1"/>
      <c r="B39" s="117" t="s">
        <v>46</v>
      </c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</row>
    <row r="40" ht="21.0" customHeight="1">
      <c r="A40" s="1"/>
      <c r="B40" s="118" t="s">
        <v>47</v>
      </c>
      <c r="C40" s="27"/>
      <c r="D40" s="27"/>
      <c r="E40" s="27"/>
      <c r="F40" s="27"/>
      <c r="G40" s="27"/>
      <c r="H40" s="27"/>
      <c r="I40" s="27"/>
      <c r="J40" s="56"/>
      <c r="K40" s="119"/>
      <c r="L40" s="119"/>
      <c r="M40" s="119"/>
      <c r="N40" s="119"/>
      <c r="O40" s="119"/>
      <c r="P40" s="119"/>
    </row>
    <row r="41" ht="21.0" customHeight="1">
      <c r="A41" s="1"/>
      <c r="B41" s="120" t="s">
        <v>9</v>
      </c>
      <c r="C41" s="56"/>
      <c r="D41" s="121">
        <v>45870.0</v>
      </c>
      <c r="E41" s="27"/>
      <c r="F41" s="27"/>
      <c r="G41" s="27"/>
      <c r="H41" s="27"/>
      <c r="I41" s="27"/>
      <c r="J41" s="56"/>
      <c r="K41" s="1"/>
      <c r="L41" s="1"/>
      <c r="M41" s="1"/>
      <c r="N41" s="1"/>
      <c r="O41" s="1"/>
      <c r="P41" s="1"/>
    </row>
    <row r="42" ht="21.0" customHeight="1">
      <c r="A42" s="1"/>
      <c r="B42" s="122"/>
      <c r="C42" s="123" t="s">
        <v>12</v>
      </c>
      <c r="D42" s="124" t="s">
        <v>17</v>
      </c>
      <c r="E42" s="125" t="s">
        <v>89</v>
      </c>
      <c r="F42" s="125" t="s">
        <v>90</v>
      </c>
      <c r="G42" s="125" t="s">
        <v>91</v>
      </c>
      <c r="H42" s="126" t="s">
        <v>51</v>
      </c>
      <c r="I42" s="126" t="s">
        <v>52</v>
      </c>
      <c r="J42" s="126" t="s">
        <v>53</v>
      </c>
      <c r="K42" s="1"/>
      <c r="L42" s="1"/>
      <c r="M42" s="1"/>
      <c r="N42" s="1"/>
      <c r="O42" s="1"/>
      <c r="P42" s="1"/>
    </row>
    <row r="43" ht="26.25" customHeight="1">
      <c r="A43" s="1"/>
      <c r="B43" s="34"/>
      <c r="C43" s="34"/>
      <c r="D43" s="34"/>
      <c r="E43" s="34"/>
      <c r="F43" s="34"/>
      <c r="G43" s="34"/>
      <c r="H43" s="34"/>
      <c r="I43" s="34"/>
      <c r="J43" s="34"/>
      <c r="K43" s="1"/>
      <c r="L43" s="1"/>
      <c r="M43" s="1"/>
      <c r="N43" s="1"/>
      <c r="O43" s="1"/>
      <c r="P43" s="1"/>
    </row>
    <row r="44" ht="47.25" customHeight="1">
      <c r="A44" s="1"/>
      <c r="B44" s="46"/>
      <c r="C44" s="46"/>
      <c r="D44" s="46"/>
      <c r="E44" s="46"/>
      <c r="F44" s="46"/>
      <c r="G44" s="46"/>
      <c r="H44" s="46"/>
      <c r="I44" s="46"/>
      <c r="J44" s="46"/>
      <c r="K44" s="1"/>
      <c r="L44" s="1"/>
      <c r="M44" s="1"/>
      <c r="N44" s="1"/>
      <c r="O44" s="1"/>
      <c r="P44" s="1"/>
    </row>
    <row r="45" ht="21.0" customHeight="1">
      <c r="A45" s="1"/>
      <c r="B45" s="53">
        <v>1.0</v>
      </c>
      <c r="C45" s="127" t="s">
        <v>54</v>
      </c>
      <c r="D45" s="57"/>
      <c r="E45" s="57"/>
      <c r="F45" s="81">
        <v>1012.0</v>
      </c>
      <c r="G45" s="81">
        <v>506.0</v>
      </c>
      <c r="H45" s="57"/>
      <c r="I45" s="57"/>
      <c r="J45" s="57"/>
      <c r="K45" s="1"/>
      <c r="L45" s="1"/>
      <c r="M45" s="1"/>
      <c r="N45" s="1"/>
      <c r="O45" s="1"/>
      <c r="P45" s="1"/>
    </row>
    <row r="46" ht="27.0" customHeight="1">
      <c r="A46" s="128"/>
      <c r="B46" s="129">
        <v>2.0</v>
      </c>
      <c r="C46" s="73" t="s">
        <v>27</v>
      </c>
      <c r="D46" s="130"/>
      <c r="E46" s="149">
        <v>52.0</v>
      </c>
      <c r="F46" s="149">
        <v>52.0</v>
      </c>
      <c r="G46" s="149">
        <v>26.0</v>
      </c>
      <c r="H46" s="131"/>
      <c r="I46" s="131"/>
      <c r="J46" s="131"/>
      <c r="K46" s="132"/>
      <c r="L46" s="132"/>
      <c r="M46" s="132"/>
      <c r="N46" s="132"/>
      <c r="O46" s="132"/>
      <c r="P46" s="132"/>
    </row>
    <row r="47" ht="21.0" customHeight="1">
      <c r="A47" s="1"/>
      <c r="B47" s="53">
        <v>3.0</v>
      </c>
      <c r="C47" s="133" t="s">
        <v>55</v>
      </c>
      <c r="D47" s="57"/>
      <c r="E47" s="55" t="s">
        <v>23</v>
      </c>
      <c r="F47" s="27"/>
      <c r="G47" s="56"/>
      <c r="H47" s="57"/>
      <c r="I47" s="57"/>
      <c r="J47" s="57"/>
      <c r="K47" s="1"/>
      <c r="L47" s="1"/>
      <c r="M47" s="1"/>
      <c r="N47" s="1"/>
      <c r="O47" s="1"/>
      <c r="P47" s="1"/>
    </row>
    <row r="48" ht="21.0" customHeight="1">
      <c r="A48" s="1"/>
      <c r="B48" s="53">
        <v>4.0</v>
      </c>
      <c r="C48" s="133" t="s">
        <v>56</v>
      </c>
      <c r="D48" s="57"/>
      <c r="E48" s="81">
        <v>213.0</v>
      </c>
      <c r="F48" s="81">
        <v>310.0</v>
      </c>
      <c r="G48" s="81">
        <v>188.0</v>
      </c>
      <c r="H48" s="57"/>
      <c r="I48" s="57"/>
      <c r="J48" s="57"/>
      <c r="K48" s="1"/>
      <c r="L48" s="1"/>
      <c r="M48" s="1"/>
      <c r="N48" s="1"/>
      <c r="O48" s="1"/>
      <c r="P48" s="1"/>
    </row>
    <row r="49" ht="21.0" customHeight="1">
      <c r="A49" s="1"/>
      <c r="B49" s="53">
        <v>5.0</v>
      </c>
      <c r="C49" s="127" t="s">
        <v>57</v>
      </c>
      <c r="D49" s="135"/>
      <c r="E49" s="55" t="s">
        <v>23</v>
      </c>
      <c r="F49" s="27"/>
      <c r="G49" s="56"/>
      <c r="H49" s="53"/>
      <c r="I49" s="53"/>
      <c r="J49" s="53"/>
      <c r="K49" s="1"/>
      <c r="L49" s="1"/>
      <c r="M49" s="1"/>
      <c r="N49" s="1"/>
      <c r="O49" s="1"/>
      <c r="P49" s="1"/>
    </row>
    <row r="50" ht="21.0" customHeight="1">
      <c r="A50" s="1"/>
      <c r="B50" s="53">
        <v>6.0</v>
      </c>
      <c r="C50" s="133" t="s">
        <v>58</v>
      </c>
      <c r="D50" s="57"/>
      <c r="E50" s="199" t="s">
        <v>23</v>
      </c>
      <c r="F50" s="27"/>
      <c r="G50" s="56"/>
      <c r="H50" s="57"/>
      <c r="I50" s="57"/>
      <c r="J50" s="57"/>
      <c r="K50" s="1"/>
      <c r="L50" s="1"/>
      <c r="M50" s="1"/>
      <c r="N50" s="1"/>
      <c r="O50" s="1"/>
      <c r="P50" s="1"/>
    </row>
    <row r="51" ht="21.0" customHeight="1">
      <c r="A51" s="1"/>
      <c r="B51" s="53">
        <v>7.0</v>
      </c>
      <c r="C51" s="137" t="s">
        <v>59</v>
      </c>
      <c r="D51" s="57"/>
      <c r="E51" s="199" t="s">
        <v>23</v>
      </c>
      <c r="F51" s="27"/>
      <c r="G51" s="56"/>
      <c r="H51" s="57"/>
      <c r="I51" s="57"/>
      <c r="J51" s="57"/>
      <c r="K51" s="1"/>
      <c r="L51" s="1"/>
      <c r="M51" s="1"/>
      <c r="N51" s="1"/>
      <c r="O51" s="1"/>
      <c r="P51" s="1"/>
    </row>
    <row r="52" ht="21.0" customHeight="1">
      <c r="A52" s="1"/>
      <c r="B52" s="53">
        <v>8.0</v>
      </c>
      <c r="C52" s="133" t="s">
        <v>60</v>
      </c>
      <c r="D52" s="57"/>
      <c r="E52" s="81">
        <v>12.0</v>
      </c>
      <c r="F52" s="81">
        <v>12.0</v>
      </c>
      <c r="G52" s="81">
        <v>6.0</v>
      </c>
      <c r="H52" s="57"/>
      <c r="I52" s="57"/>
      <c r="J52" s="57"/>
      <c r="K52" s="1"/>
      <c r="L52" s="1"/>
      <c r="M52" s="1"/>
      <c r="N52" s="1"/>
      <c r="O52" s="1"/>
      <c r="P52" s="1"/>
    </row>
    <row r="53" ht="21.0" customHeight="1">
      <c r="A53" s="1"/>
      <c r="B53" s="196">
        <v>9.0</v>
      </c>
      <c r="C53" s="133" t="s">
        <v>85</v>
      </c>
      <c r="D53" s="57"/>
      <c r="E53" s="81">
        <v>29.0</v>
      </c>
      <c r="F53" s="81">
        <v>24.0</v>
      </c>
      <c r="G53" s="81">
        <v>53.0</v>
      </c>
      <c r="H53" s="57"/>
      <c r="I53" s="57"/>
      <c r="J53" s="57"/>
      <c r="K53" s="1"/>
      <c r="L53" s="1"/>
      <c r="M53" s="1"/>
      <c r="N53" s="1"/>
      <c r="O53" s="1"/>
      <c r="P53" s="1"/>
    </row>
    <row r="54" ht="21.0" customHeight="1">
      <c r="A54" s="1"/>
      <c r="B54" s="196">
        <v>10.0</v>
      </c>
      <c r="C54" s="133" t="s">
        <v>61</v>
      </c>
      <c r="D54" s="57"/>
      <c r="E54" s="81">
        <v>200.0</v>
      </c>
      <c r="F54" s="81">
        <v>202.0</v>
      </c>
      <c r="G54" s="81">
        <v>112.0</v>
      </c>
      <c r="H54" s="57"/>
      <c r="I54" s="57"/>
      <c r="J54" s="57"/>
      <c r="K54" s="1"/>
      <c r="L54" s="1"/>
      <c r="M54" s="1"/>
      <c r="N54" s="1"/>
      <c r="O54" s="1"/>
      <c r="P54" s="1"/>
    </row>
    <row r="55" ht="21.0" customHeight="1">
      <c r="A55" s="1"/>
      <c r="B55" s="138" t="s">
        <v>45</v>
      </c>
      <c r="C55" s="56"/>
      <c r="D55" s="139"/>
      <c r="E55" s="140">
        <f t="shared" ref="E55:G55" si="28">SUM(E45:E54)</f>
        <v>506</v>
      </c>
      <c r="F55" s="140">
        <f t="shared" si="28"/>
        <v>1612</v>
      </c>
      <c r="G55" s="140">
        <f t="shared" si="28"/>
        <v>891</v>
      </c>
      <c r="H55" s="140"/>
      <c r="I55" s="140"/>
      <c r="J55" s="140"/>
      <c r="K55" s="1"/>
      <c r="L55" s="1"/>
      <c r="M55" s="1"/>
      <c r="N55" s="1"/>
      <c r="O55" s="1"/>
      <c r="P55" s="1"/>
    </row>
    <row r="56" ht="21.0" customHeight="1">
      <c r="A56" s="1"/>
      <c r="B56" s="117" t="s">
        <v>62</v>
      </c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</row>
    <row r="57" ht="15.0" customHeight="1">
      <c r="A57" s="1"/>
      <c r="B57" s="117" t="s">
        <v>63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</row>
    <row r="58" ht="13.5" customHeight="1">
      <c r="A58" s="1"/>
      <c r="B58" s="117" t="s">
        <v>64</v>
      </c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</row>
  </sheetData>
  <mergeCells count="38">
    <mergeCell ref="I42:I44"/>
    <mergeCell ref="J42:J44"/>
    <mergeCell ref="E47:G47"/>
    <mergeCell ref="E49:G49"/>
    <mergeCell ref="E50:G50"/>
    <mergeCell ref="E51:G51"/>
    <mergeCell ref="B55:C55"/>
    <mergeCell ref="D31:F31"/>
    <mergeCell ref="D35:F35"/>
    <mergeCell ref="B38:C38"/>
    <mergeCell ref="B40:J40"/>
    <mergeCell ref="B41:C41"/>
    <mergeCell ref="D41:J41"/>
    <mergeCell ref="B42:B44"/>
    <mergeCell ref="N11:P13"/>
    <mergeCell ref="K12:M13"/>
    <mergeCell ref="E13:G13"/>
    <mergeCell ref="H13:J13"/>
    <mergeCell ref="H4:I4"/>
    <mergeCell ref="B10:P10"/>
    <mergeCell ref="B11:C11"/>
    <mergeCell ref="E11:M11"/>
    <mergeCell ref="B12:B14"/>
    <mergeCell ref="C12:C14"/>
    <mergeCell ref="E12:J12"/>
    <mergeCell ref="D15:F15"/>
    <mergeCell ref="D16:F16"/>
    <mergeCell ref="D20:F20"/>
    <mergeCell ref="D21:F21"/>
    <mergeCell ref="D22:F22"/>
    <mergeCell ref="D23:F23"/>
    <mergeCell ref="D24:F24"/>
    <mergeCell ref="C42:C44"/>
    <mergeCell ref="D42:D44"/>
    <mergeCell ref="E42:E44"/>
    <mergeCell ref="F42:F44"/>
    <mergeCell ref="G42:G44"/>
    <mergeCell ref="H42:H44"/>
  </mergeCells>
  <printOptions horizontalCentered="1"/>
  <pageMargins bottom="0.2018111254851229" footer="0.0" header="0.0" left="0.5213454075032341" right="0.5213454075032341" top="0.0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 fitToPage="1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5.63"/>
    <col customWidth="1" min="3" max="3" width="32.38"/>
    <col customWidth="1" min="4" max="4" width="9.13"/>
    <col customWidth="1" min="5" max="14" width="7.63"/>
    <col customWidth="1" min="15" max="15" width="10.38"/>
    <col customWidth="1" min="16" max="16" width="10.75"/>
  </cols>
  <sheetData>
    <row r="1" ht="13.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 t="s">
        <v>1</v>
      </c>
    </row>
    <row r="2" ht="14.25" customHeight="1">
      <c r="A2" s="1"/>
      <c r="B2" s="3" t="s">
        <v>2</v>
      </c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8.25" customHeight="1">
      <c r="A3" s="1"/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5.75" customHeight="1">
      <c r="A4" s="1"/>
      <c r="B4" s="1"/>
      <c r="C4" s="1"/>
      <c r="D4" s="1"/>
      <c r="E4" s="1"/>
      <c r="F4" s="4" t="s">
        <v>3</v>
      </c>
      <c r="G4" s="4"/>
      <c r="H4" s="141">
        <v>45901.0</v>
      </c>
      <c r="I4" s="6"/>
      <c r="J4" s="7"/>
      <c r="K4" s="7"/>
      <c r="L4" s="7"/>
      <c r="M4" s="7"/>
      <c r="N4" s="7"/>
      <c r="O4" s="7"/>
      <c r="P4" s="8"/>
    </row>
    <row r="5" ht="15.75" customHeight="1">
      <c r="A5" s="1"/>
      <c r="B5" s="1"/>
      <c r="C5" s="1"/>
      <c r="D5" s="1"/>
      <c r="E5" s="1"/>
      <c r="F5" s="4" t="s">
        <v>4</v>
      </c>
      <c r="G5" s="4"/>
      <c r="H5" s="9" t="s">
        <v>5</v>
      </c>
      <c r="I5" s="9"/>
      <c r="J5" s="9"/>
      <c r="K5" s="9"/>
      <c r="L5" s="9"/>
      <c r="M5" s="9"/>
      <c r="N5" s="9"/>
      <c r="O5" s="9"/>
      <c r="P5" s="8"/>
    </row>
    <row r="6" ht="15.75" customHeight="1">
      <c r="A6" s="1"/>
      <c r="B6" s="1"/>
      <c r="C6" s="1"/>
      <c r="D6" s="1"/>
      <c r="E6" s="1"/>
      <c r="F6" s="4" t="s">
        <v>6</v>
      </c>
      <c r="G6" s="4"/>
      <c r="H6" s="7"/>
      <c r="I6" s="7"/>
      <c r="J6" s="7"/>
      <c r="K6" s="7"/>
      <c r="L6" s="7"/>
      <c r="M6" s="7"/>
      <c r="N6" s="7"/>
      <c r="O6" s="7"/>
      <c r="P6" s="8"/>
    </row>
    <row r="7" ht="15.75" customHeight="1">
      <c r="A7" s="1"/>
      <c r="B7" s="1"/>
      <c r="C7" s="1"/>
      <c r="D7" s="10"/>
      <c r="E7" s="10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ht="15.75" customHeight="1">
      <c r="A8" s="1"/>
      <c r="B8" s="1"/>
      <c r="C8" s="1"/>
      <c r="D8" s="4"/>
      <c r="E8" s="4" t="s">
        <v>7</v>
      </c>
      <c r="F8" s="11"/>
      <c r="G8" s="8"/>
      <c r="H8" s="10"/>
      <c r="I8" s="10"/>
      <c r="J8" s="10"/>
      <c r="K8" s="10"/>
      <c r="L8" s="10"/>
      <c r="M8" s="10"/>
      <c r="N8" s="10"/>
      <c r="O8" s="10"/>
      <c r="P8" s="1"/>
    </row>
    <row r="9" ht="17.25" customHeight="1">
      <c r="A9" s="1"/>
      <c r="B9" s="1"/>
      <c r="C9" s="1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ht="17.25" customHeight="1">
      <c r="A10" s="1"/>
      <c r="B10" s="12" t="s">
        <v>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ht="16.5" customHeight="1">
      <c r="A11" s="1"/>
      <c r="B11" s="14" t="s">
        <v>9</v>
      </c>
      <c r="C11" s="15"/>
      <c r="D11" s="16"/>
      <c r="E11" s="17" t="s">
        <v>10</v>
      </c>
      <c r="F11" s="18"/>
      <c r="G11" s="18"/>
      <c r="H11" s="18"/>
      <c r="I11" s="18"/>
      <c r="J11" s="18"/>
      <c r="K11" s="18"/>
      <c r="L11" s="18"/>
      <c r="M11" s="19"/>
      <c r="N11" s="20" t="s">
        <v>11</v>
      </c>
      <c r="O11" s="21"/>
      <c r="P11" s="22"/>
    </row>
    <row r="12" ht="15.0" customHeight="1">
      <c r="A12" s="1"/>
      <c r="B12" s="23"/>
      <c r="C12" s="24" t="s">
        <v>12</v>
      </c>
      <c r="D12" s="25"/>
      <c r="E12" s="26" t="s">
        <v>13</v>
      </c>
      <c r="F12" s="27"/>
      <c r="G12" s="27"/>
      <c r="H12" s="27"/>
      <c r="I12" s="27"/>
      <c r="J12" s="27"/>
      <c r="K12" s="28" t="s">
        <v>14</v>
      </c>
      <c r="L12" s="29"/>
      <c r="M12" s="30"/>
      <c r="N12" s="31"/>
      <c r="P12" s="32"/>
    </row>
    <row r="13" ht="28.5" customHeight="1">
      <c r="A13" s="1"/>
      <c r="B13" s="33"/>
      <c r="C13" s="34"/>
      <c r="D13" s="35"/>
      <c r="E13" s="36" t="s">
        <v>15</v>
      </c>
      <c r="F13" s="37"/>
      <c r="G13" s="38"/>
      <c r="H13" s="36" t="s">
        <v>16</v>
      </c>
      <c r="I13" s="37"/>
      <c r="J13" s="38"/>
      <c r="K13" s="39"/>
      <c r="L13" s="40"/>
      <c r="M13" s="41"/>
      <c r="N13" s="42"/>
      <c r="O13" s="43"/>
      <c r="P13" s="44"/>
    </row>
    <row r="14" ht="36.75" customHeight="1">
      <c r="A14" s="1"/>
      <c r="B14" s="45"/>
      <c r="C14" s="46"/>
      <c r="D14" s="47" t="s">
        <v>17</v>
      </c>
      <c r="E14" s="48" t="s">
        <v>18</v>
      </c>
      <c r="F14" s="49" t="s">
        <v>19</v>
      </c>
      <c r="G14" s="50" t="s">
        <v>20</v>
      </c>
      <c r="H14" s="48" t="s">
        <v>18</v>
      </c>
      <c r="I14" s="51" t="s">
        <v>19</v>
      </c>
      <c r="J14" s="50" t="s">
        <v>20</v>
      </c>
      <c r="K14" s="48" t="s">
        <v>21</v>
      </c>
      <c r="L14" s="51" t="s">
        <v>19</v>
      </c>
      <c r="M14" s="52" t="s">
        <v>20</v>
      </c>
      <c r="N14" s="50" t="s">
        <v>18</v>
      </c>
      <c r="O14" s="50" t="s">
        <v>19</v>
      </c>
      <c r="P14" s="50" t="s">
        <v>20</v>
      </c>
    </row>
    <row r="15" ht="17.25" customHeight="1">
      <c r="A15" s="1"/>
      <c r="B15" s="53">
        <v>1.0</v>
      </c>
      <c r="C15" s="54" t="s">
        <v>22</v>
      </c>
      <c r="D15" s="55" t="s">
        <v>23</v>
      </c>
      <c r="E15" s="27"/>
      <c r="F15" s="56"/>
      <c r="G15" s="81">
        <v>0.0</v>
      </c>
      <c r="H15" s="57"/>
      <c r="I15" s="57"/>
      <c r="J15" s="81">
        <v>0.0</v>
      </c>
      <c r="K15" s="107">
        <v>0.0</v>
      </c>
      <c r="L15" s="197">
        <v>0.0</v>
      </c>
      <c r="M15" s="57">
        <f t="shared" ref="M15:M29" si="2">SUM(K15:L15)</f>
        <v>0</v>
      </c>
      <c r="N15" s="57">
        <f t="shared" ref="N15:P15" si="1">SUM(E15,H15,K15)</f>
        <v>0</v>
      </c>
      <c r="O15" s="57">
        <f t="shared" si="1"/>
        <v>0</v>
      </c>
      <c r="P15" s="57">
        <f t="shared" si="1"/>
        <v>0</v>
      </c>
    </row>
    <row r="16" ht="17.25" customHeight="1">
      <c r="A16" s="1"/>
      <c r="B16" s="60">
        <v>2.0</v>
      </c>
      <c r="C16" s="61" t="s">
        <v>24</v>
      </c>
      <c r="D16" s="55" t="s">
        <v>23</v>
      </c>
      <c r="E16" s="27"/>
      <c r="F16" s="56"/>
      <c r="G16" s="81">
        <v>0.0</v>
      </c>
      <c r="H16" s="64"/>
      <c r="I16" s="65"/>
      <c r="J16" s="81">
        <v>0.0</v>
      </c>
      <c r="K16" s="107">
        <v>0.0</v>
      </c>
      <c r="L16" s="197">
        <v>0.0</v>
      </c>
      <c r="M16" s="57">
        <f t="shared" si="2"/>
        <v>0</v>
      </c>
      <c r="N16" s="57">
        <f t="shared" ref="N16:P16" si="3">SUM(E16,H16,K16)</f>
        <v>0</v>
      </c>
      <c r="O16" s="57">
        <f t="shared" si="3"/>
        <v>0</v>
      </c>
      <c r="P16" s="57">
        <f t="shared" si="3"/>
        <v>0</v>
      </c>
    </row>
    <row r="17" ht="17.25" customHeight="1">
      <c r="A17" s="1"/>
      <c r="B17" s="67">
        <v>3.0</v>
      </c>
      <c r="C17" s="54" t="s">
        <v>25</v>
      </c>
      <c r="D17" s="71"/>
      <c r="E17" s="107">
        <v>34.0</v>
      </c>
      <c r="F17" s="147">
        <v>60.0</v>
      </c>
      <c r="G17" s="81">
        <v>94.0</v>
      </c>
      <c r="H17" s="70"/>
      <c r="I17" s="57"/>
      <c r="J17" s="81">
        <v>0.0</v>
      </c>
      <c r="K17" s="107">
        <v>0.0</v>
      </c>
      <c r="L17" s="197">
        <v>0.0</v>
      </c>
      <c r="M17" s="57">
        <f t="shared" si="2"/>
        <v>0</v>
      </c>
      <c r="N17" s="57">
        <f t="shared" ref="N17:P17" si="4">SUM(E17,H17,K17)</f>
        <v>34</v>
      </c>
      <c r="O17" s="57">
        <f t="shared" si="4"/>
        <v>60</v>
      </c>
      <c r="P17" s="57">
        <f t="shared" si="4"/>
        <v>94</v>
      </c>
    </row>
    <row r="18" ht="17.25" customHeight="1">
      <c r="A18" s="1"/>
      <c r="B18" s="67">
        <v>4.0</v>
      </c>
      <c r="C18" s="54" t="s">
        <v>26</v>
      </c>
      <c r="D18" s="71"/>
      <c r="E18" s="107">
        <v>76.0</v>
      </c>
      <c r="F18" s="147">
        <v>80.0</v>
      </c>
      <c r="G18" s="81">
        <v>156.0</v>
      </c>
      <c r="H18" s="70"/>
      <c r="I18" s="57"/>
      <c r="J18" s="81">
        <v>0.0</v>
      </c>
      <c r="K18" s="107">
        <v>0.0</v>
      </c>
      <c r="L18" s="197">
        <v>0.0</v>
      </c>
      <c r="M18" s="57">
        <f t="shared" si="2"/>
        <v>0</v>
      </c>
      <c r="N18" s="57">
        <f t="shared" ref="N18:P18" si="5">SUM(E18,H18,K18)</f>
        <v>76</v>
      </c>
      <c r="O18" s="57">
        <f t="shared" si="5"/>
        <v>80</v>
      </c>
      <c r="P18" s="57">
        <f t="shared" si="5"/>
        <v>156</v>
      </c>
    </row>
    <row r="19" ht="17.25" customHeight="1">
      <c r="A19" s="1"/>
      <c r="B19" s="67">
        <v>5.0</v>
      </c>
      <c r="C19" s="73" t="s">
        <v>27</v>
      </c>
      <c r="D19" s="71"/>
      <c r="E19" s="70"/>
      <c r="F19" s="75"/>
      <c r="G19" s="81">
        <v>235.0</v>
      </c>
      <c r="H19" s="70"/>
      <c r="I19" s="57"/>
      <c r="J19" s="81">
        <v>0.0</v>
      </c>
      <c r="K19" s="107">
        <v>0.0</v>
      </c>
      <c r="L19" s="197">
        <v>0.0</v>
      </c>
      <c r="M19" s="57">
        <f t="shared" si="2"/>
        <v>0</v>
      </c>
      <c r="N19" s="57">
        <f t="shared" ref="N19:P19" si="6">SUM(E19,H19,K19)</f>
        <v>0</v>
      </c>
      <c r="O19" s="57">
        <f t="shared" si="6"/>
        <v>0</v>
      </c>
      <c r="P19" s="57">
        <f t="shared" si="6"/>
        <v>235</v>
      </c>
    </row>
    <row r="20" ht="17.25" customHeight="1">
      <c r="A20" s="1"/>
      <c r="B20" s="67">
        <v>6.0</v>
      </c>
      <c r="C20" s="54" t="s">
        <v>28</v>
      </c>
      <c r="D20" s="55" t="s">
        <v>23</v>
      </c>
      <c r="E20" s="27"/>
      <c r="F20" s="56"/>
      <c r="G20" s="81">
        <v>0.0</v>
      </c>
      <c r="H20" s="70"/>
      <c r="I20" s="57"/>
      <c r="J20" s="81">
        <v>0.0</v>
      </c>
      <c r="K20" s="107">
        <v>0.0</v>
      </c>
      <c r="L20" s="197">
        <v>0.0</v>
      </c>
      <c r="M20" s="57">
        <f t="shared" si="2"/>
        <v>0</v>
      </c>
      <c r="N20" s="57">
        <f t="shared" ref="N20:P20" si="7">SUM(E20,H20,K20)</f>
        <v>0</v>
      </c>
      <c r="O20" s="57">
        <f t="shared" si="7"/>
        <v>0</v>
      </c>
      <c r="P20" s="57">
        <f t="shared" si="7"/>
        <v>0</v>
      </c>
    </row>
    <row r="21" ht="17.25" customHeight="1">
      <c r="A21" s="1"/>
      <c r="B21" s="67">
        <v>7.0</v>
      </c>
      <c r="C21" s="54" t="s">
        <v>29</v>
      </c>
      <c r="D21" s="55" t="s">
        <v>23</v>
      </c>
      <c r="E21" s="27"/>
      <c r="F21" s="56"/>
      <c r="G21" s="81">
        <v>0.0</v>
      </c>
      <c r="H21" s="70"/>
      <c r="I21" s="57"/>
      <c r="J21" s="81">
        <v>0.0</v>
      </c>
      <c r="K21" s="107">
        <v>0.0</v>
      </c>
      <c r="L21" s="197">
        <v>0.0</v>
      </c>
      <c r="M21" s="57">
        <f t="shared" si="2"/>
        <v>0</v>
      </c>
      <c r="N21" s="57">
        <f t="shared" ref="N21:P21" si="8">SUM(E21,H21,K21)</f>
        <v>0</v>
      </c>
      <c r="O21" s="57">
        <f t="shared" si="8"/>
        <v>0</v>
      </c>
      <c r="P21" s="57">
        <f t="shared" si="8"/>
        <v>0</v>
      </c>
    </row>
    <row r="22" ht="17.25" customHeight="1">
      <c r="A22" s="1"/>
      <c r="B22" s="67">
        <v>8.0</v>
      </c>
      <c r="C22" s="54" t="s">
        <v>30</v>
      </c>
      <c r="D22" s="55" t="s">
        <v>23</v>
      </c>
      <c r="E22" s="27"/>
      <c r="F22" s="56"/>
      <c r="G22" s="81">
        <v>0.0</v>
      </c>
      <c r="H22" s="70"/>
      <c r="I22" s="57"/>
      <c r="J22" s="81">
        <v>0.0</v>
      </c>
      <c r="K22" s="107">
        <v>0.0</v>
      </c>
      <c r="L22" s="197">
        <v>0.0</v>
      </c>
      <c r="M22" s="57">
        <f t="shared" si="2"/>
        <v>0</v>
      </c>
      <c r="N22" s="57">
        <f t="shared" ref="N22:P22" si="9">SUM(E22,H22,K22)</f>
        <v>0</v>
      </c>
      <c r="O22" s="57">
        <f t="shared" si="9"/>
        <v>0</v>
      </c>
      <c r="P22" s="57">
        <f t="shared" si="9"/>
        <v>0</v>
      </c>
    </row>
    <row r="23" ht="17.25" customHeight="1">
      <c r="A23" s="1"/>
      <c r="B23" s="67">
        <v>9.0</v>
      </c>
      <c r="C23" s="54" t="s">
        <v>31</v>
      </c>
      <c r="D23" s="55" t="s">
        <v>23</v>
      </c>
      <c r="E23" s="27"/>
      <c r="F23" s="56"/>
      <c r="G23" s="81">
        <v>0.0</v>
      </c>
      <c r="H23" s="70"/>
      <c r="I23" s="57"/>
      <c r="J23" s="81">
        <v>0.0</v>
      </c>
      <c r="K23" s="107">
        <v>0.0</v>
      </c>
      <c r="L23" s="197">
        <v>0.0</v>
      </c>
      <c r="M23" s="57">
        <f t="shared" si="2"/>
        <v>0</v>
      </c>
      <c r="N23" s="57">
        <f t="shared" ref="N23:P23" si="10">SUM(E23,H23,K23)</f>
        <v>0</v>
      </c>
      <c r="O23" s="57">
        <f t="shared" si="10"/>
        <v>0</v>
      </c>
      <c r="P23" s="57">
        <f t="shared" si="10"/>
        <v>0</v>
      </c>
    </row>
    <row r="24" ht="17.25" customHeight="1">
      <c r="A24" s="1"/>
      <c r="B24" s="67">
        <v>10.0</v>
      </c>
      <c r="C24" s="146" t="s">
        <v>32</v>
      </c>
      <c r="D24" s="150"/>
      <c r="E24" s="27"/>
      <c r="F24" s="56"/>
      <c r="G24" s="81">
        <v>0.0</v>
      </c>
      <c r="H24" s="70"/>
      <c r="I24" s="57"/>
      <c r="J24" s="81">
        <v>0.0</v>
      </c>
      <c r="K24" s="107">
        <v>0.0</v>
      </c>
      <c r="L24" s="197">
        <v>0.0</v>
      </c>
      <c r="M24" s="57">
        <f t="shared" si="2"/>
        <v>0</v>
      </c>
      <c r="N24" s="57">
        <f t="shared" ref="N24:P24" si="11">SUM(E24,H24,K24)</f>
        <v>0</v>
      </c>
      <c r="O24" s="57">
        <f t="shared" si="11"/>
        <v>0</v>
      </c>
      <c r="P24" s="57">
        <f t="shared" si="11"/>
        <v>0</v>
      </c>
    </row>
    <row r="25" ht="17.25" customHeight="1">
      <c r="A25" s="1"/>
      <c r="B25" s="67">
        <v>11.0</v>
      </c>
      <c r="C25" s="54" t="s">
        <v>65</v>
      </c>
      <c r="D25" s="55" t="s">
        <v>23</v>
      </c>
      <c r="E25" s="27"/>
      <c r="F25" s="56"/>
      <c r="G25" s="81">
        <v>0.0</v>
      </c>
      <c r="H25" s="70"/>
      <c r="I25" s="57"/>
      <c r="J25" s="81">
        <v>0.0</v>
      </c>
      <c r="K25" s="107">
        <v>0.0</v>
      </c>
      <c r="L25" s="197">
        <v>0.0</v>
      </c>
      <c r="M25" s="57">
        <f t="shared" si="2"/>
        <v>0</v>
      </c>
      <c r="N25" s="57">
        <f t="shared" ref="N25:P25" si="12">SUM(E25,H25,K25)</f>
        <v>0</v>
      </c>
      <c r="O25" s="57">
        <f t="shared" si="12"/>
        <v>0</v>
      </c>
      <c r="P25" s="57">
        <f t="shared" si="12"/>
        <v>0</v>
      </c>
    </row>
    <row r="26" ht="17.25" customHeight="1">
      <c r="A26" s="1"/>
      <c r="B26" s="67">
        <v>12.0</v>
      </c>
      <c r="C26" s="54" t="s">
        <v>66</v>
      </c>
      <c r="D26" s="71"/>
      <c r="E26" s="107">
        <v>212.0</v>
      </c>
      <c r="F26" s="147">
        <v>182.0</v>
      </c>
      <c r="G26" s="81">
        <v>394.0</v>
      </c>
      <c r="H26" s="70"/>
      <c r="I26" s="57"/>
      <c r="J26" s="81">
        <v>0.0</v>
      </c>
      <c r="K26" s="107">
        <v>0.0</v>
      </c>
      <c r="L26" s="197">
        <v>0.0</v>
      </c>
      <c r="M26" s="57">
        <f t="shared" si="2"/>
        <v>0</v>
      </c>
      <c r="N26" s="57">
        <f t="shared" ref="N26:P26" si="13">SUM(E26,H26,K26)</f>
        <v>212</v>
      </c>
      <c r="O26" s="57">
        <f t="shared" si="13"/>
        <v>182</v>
      </c>
      <c r="P26" s="57">
        <f t="shared" si="13"/>
        <v>394</v>
      </c>
    </row>
    <row r="27" ht="17.25" customHeight="1">
      <c r="A27" s="1"/>
      <c r="B27" s="67">
        <v>13.0</v>
      </c>
      <c r="C27" s="54" t="s">
        <v>35</v>
      </c>
      <c r="D27" s="74"/>
      <c r="E27" s="107">
        <v>341.0</v>
      </c>
      <c r="F27" s="81">
        <v>380.0</v>
      </c>
      <c r="G27" s="81">
        <v>730.0</v>
      </c>
      <c r="H27" s="70"/>
      <c r="I27" s="57"/>
      <c r="J27" s="81">
        <v>0.0</v>
      </c>
      <c r="K27" s="107">
        <v>0.0</v>
      </c>
      <c r="L27" s="197">
        <v>0.0</v>
      </c>
      <c r="M27" s="57">
        <f t="shared" si="2"/>
        <v>0</v>
      </c>
      <c r="N27" s="57">
        <f t="shared" ref="N27:P27" si="14">SUM(E27,H27,K27)</f>
        <v>341</v>
      </c>
      <c r="O27" s="57">
        <f t="shared" si="14"/>
        <v>380</v>
      </c>
      <c r="P27" s="57">
        <f t="shared" si="14"/>
        <v>730</v>
      </c>
    </row>
    <row r="28" ht="17.25" customHeight="1">
      <c r="A28" s="1"/>
      <c r="B28" s="67">
        <v>14.0</v>
      </c>
      <c r="C28" s="54" t="s">
        <v>36</v>
      </c>
      <c r="D28" s="199" t="s">
        <v>23</v>
      </c>
      <c r="E28" s="27"/>
      <c r="F28" s="56"/>
      <c r="G28" s="81">
        <v>0.0</v>
      </c>
      <c r="H28" s="70"/>
      <c r="I28" s="57"/>
      <c r="J28" s="81">
        <v>0.0</v>
      </c>
      <c r="K28" s="107">
        <v>0.0</v>
      </c>
      <c r="L28" s="197">
        <v>0.0</v>
      </c>
      <c r="M28" s="57">
        <f t="shared" si="2"/>
        <v>0</v>
      </c>
      <c r="N28" s="57">
        <f t="shared" ref="N28:P28" si="15">SUM(E28,H28,K28)</f>
        <v>0</v>
      </c>
      <c r="O28" s="57">
        <f t="shared" si="15"/>
        <v>0</v>
      </c>
      <c r="P28" s="57">
        <f t="shared" si="15"/>
        <v>0</v>
      </c>
    </row>
    <row r="29" ht="17.25" customHeight="1">
      <c r="A29" s="1"/>
      <c r="B29" s="176">
        <v>15.0</v>
      </c>
      <c r="C29" s="133" t="s">
        <v>85</v>
      </c>
      <c r="D29" s="75"/>
      <c r="E29" s="81">
        <v>12.0</v>
      </c>
      <c r="F29" s="81">
        <v>11.0</v>
      </c>
      <c r="G29" s="81">
        <v>24.0</v>
      </c>
      <c r="H29" s="80"/>
      <c r="I29" s="57"/>
      <c r="J29" s="81">
        <v>0.0</v>
      </c>
      <c r="K29" s="107">
        <v>0.0</v>
      </c>
      <c r="L29" s="197">
        <v>0.0</v>
      </c>
      <c r="M29" s="57">
        <f t="shared" si="2"/>
        <v>0</v>
      </c>
      <c r="N29" s="57">
        <f t="shared" ref="N29:P29" si="16">SUM(E29,H29,K29)</f>
        <v>12</v>
      </c>
      <c r="O29" s="57">
        <f t="shared" si="16"/>
        <v>11</v>
      </c>
      <c r="P29" s="57">
        <f t="shared" si="16"/>
        <v>24</v>
      </c>
    </row>
    <row r="30" ht="17.25" customHeight="1">
      <c r="A30" s="1"/>
      <c r="B30" s="83"/>
      <c r="C30" s="84" t="s">
        <v>37</v>
      </c>
      <c r="D30" s="85"/>
      <c r="E30" s="86"/>
      <c r="F30" s="87"/>
      <c r="G30" s="88"/>
      <c r="H30" s="86"/>
      <c r="I30" s="87"/>
      <c r="J30" s="88"/>
      <c r="K30" s="86"/>
      <c r="L30" s="89"/>
      <c r="M30" s="87"/>
      <c r="N30" s="87"/>
      <c r="O30" s="87"/>
      <c r="P30" s="87"/>
    </row>
    <row r="31" ht="17.25" customHeight="1">
      <c r="A31" s="1"/>
      <c r="B31" s="67">
        <v>1.0</v>
      </c>
      <c r="C31" s="90" t="s">
        <v>38</v>
      </c>
      <c r="D31" s="55" t="s">
        <v>23</v>
      </c>
      <c r="E31" s="27"/>
      <c r="F31" s="56"/>
      <c r="G31" s="81">
        <v>0.0</v>
      </c>
      <c r="H31" s="80"/>
      <c r="I31" s="57"/>
      <c r="J31" s="81">
        <v>0.0</v>
      </c>
      <c r="K31" s="107">
        <v>0.0</v>
      </c>
      <c r="L31" s="197">
        <v>0.0</v>
      </c>
      <c r="M31" s="57">
        <f t="shared" ref="M31:M36" si="18">SUM(K31:L31)</f>
        <v>0</v>
      </c>
      <c r="N31" s="57">
        <f t="shared" ref="N31:P31" si="17">SUM(E31,H31,K31)</f>
        <v>0</v>
      </c>
      <c r="O31" s="57">
        <f t="shared" si="17"/>
        <v>0</v>
      </c>
      <c r="P31" s="57">
        <f t="shared" si="17"/>
        <v>0</v>
      </c>
    </row>
    <row r="32" ht="17.25" customHeight="1">
      <c r="A32" s="1"/>
      <c r="B32" s="67">
        <v>2.0</v>
      </c>
      <c r="C32" s="92" t="s">
        <v>39</v>
      </c>
      <c r="D32" s="93"/>
      <c r="E32" s="94"/>
      <c r="F32" s="95"/>
      <c r="G32" s="96">
        <v>9356.0</v>
      </c>
      <c r="H32" s="97"/>
      <c r="I32" s="98"/>
      <c r="J32" s="205">
        <v>0.0</v>
      </c>
      <c r="K32" s="202">
        <v>0.0</v>
      </c>
      <c r="L32" s="204">
        <v>0.0</v>
      </c>
      <c r="M32" s="98">
        <f t="shared" si="18"/>
        <v>0</v>
      </c>
      <c r="N32" s="95">
        <f t="shared" ref="N32:P32" si="19">SUM(E32,H32,K32)</f>
        <v>0</v>
      </c>
      <c r="O32" s="95">
        <f t="shared" si="19"/>
        <v>0</v>
      </c>
      <c r="P32" s="95">
        <f t="shared" si="19"/>
        <v>9356</v>
      </c>
    </row>
    <row r="33" ht="17.25" customHeight="1">
      <c r="A33" s="1"/>
      <c r="B33" s="67">
        <v>3.0</v>
      </c>
      <c r="C33" s="101" t="s">
        <v>40</v>
      </c>
      <c r="D33" s="75"/>
      <c r="E33" s="102"/>
      <c r="F33" s="103"/>
      <c r="G33" s="104">
        <v>1894.0</v>
      </c>
      <c r="H33" s="80"/>
      <c r="I33" s="57"/>
      <c r="J33" s="81">
        <v>0.0</v>
      </c>
      <c r="K33" s="107">
        <v>0.0</v>
      </c>
      <c r="L33" s="197">
        <v>0.0</v>
      </c>
      <c r="M33" s="57">
        <f t="shared" si="18"/>
        <v>0</v>
      </c>
      <c r="N33" s="103">
        <f t="shared" ref="N33:P33" si="20">SUM(E33,H33,K33)</f>
        <v>0</v>
      </c>
      <c r="O33" s="103">
        <f t="shared" si="20"/>
        <v>0</v>
      </c>
      <c r="P33" s="103">
        <f t="shared" si="20"/>
        <v>1894</v>
      </c>
    </row>
    <row r="34" ht="17.25" customHeight="1">
      <c r="A34" s="1"/>
      <c r="B34" s="67">
        <v>4.0</v>
      </c>
      <c r="C34" s="106" t="s">
        <v>41</v>
      </c>
      <c r="D34" s="75"/>
      <c r="E34" s="102"/>
      <c r="F34" s="103"/>
      <c r="G34" s="104">
        <v>13007.0</v>
      </c>
      <c r="H34" s="80"/>
      <c r="I34" s="57"/>
      <c r="J34" s="81">
        <v>0.0</v>
      </c>
      <c r="K34" s="107">
        <v>0.0</v>
      </c>
      <c r="L34" s="197">
        <v>0.0</v>
      </c>
      <c r="M34" s="57">
        <f t="shared" si="18"/>
        <v>0</v>
      </c>
      <c r="N34" s="103">
        <f t="shared" ref="N34:P34" si="21">SUM(E34,H34,K34)</f>
        <v>0</v>
      </c>
      <c r="O34" s="103">
        <f t="shared" si="21"/>
        <v>0</v>
      </c>
      <c r="P34" s="103">
        <f t="shared" si="21"/>
        <v>13007</v>
      </c>
    </row>
    <row r="35" ht="17.25" customHeight="1">
      <c r="A35" s="1"/>
      <c r="B35" s="67">
        <v>5.0</v>
      </c>
      <c r="C35" s="106" t="s">
        <v>42</v>
      </c>
      <c r="D35" s="55" t="s">
        <v>23</v>
      </c>
      <c r="E35" s="27"/>
      <c r="F35" s="56"/>
      <c r="G35" s="81">
        <v>0.0</v>
      </c>
      <c r="H35" s="80"/>
      <c r="I35" s="57"/>
      <c r="J35" s="81">
        <v>0.0</v>
      </c>
      <c r="K35" s="107">
        <v>0.0</v>
      </c>
      <c r="L35" s="197">
        <v>0.0</v>
      </c>
      <c r="M35" s="57">
        <f t="shared" si="18"/>
        <v>0</v>
      </c>
      <c r="N35" s="57">
        <f t="shared" ref="N35:P35" si="22">SUM(E35,H35,K35)</f>
        <v>0</v>
      </c>
      <c r="O35" s="57">
        <f t="shared" si="22"/>
        <v>0</v>
      </c>
      <c r="P35" s="57">
        <f t="shared" si="22"/>
        <v>0</v>
      </c>
    </row>
    <row r="36" ht="17.25" customHeight="1">
      <c r="A36" s="1"/>
      <c r="B36" s="67">
        <v>6.0</v>
      </c>
      <c r="C36" s="106" t="s">
        <v>43</v>
      </c>
      <c r="D36" s="75"/>
      <c r="E36" s="70"/>
      <c r="F36" s="57"/>
      <c r="G36" s="81">
        <v>782.0</v>
      </c>
      <c r="H36" s="70"/>
      <c r="I36" s="57"/>
      <c r="J36" s="81">
        <v>0.0</v>
      </c>
      <c r="K36" s="107">
        <v>0.0</v>
      </c>
      <c r="L36" s="197">
        <v>0.0</v>
      </c>
      <c r="M36" s="57">
        <f t="shared" si="18"/>
        <v>0</v>
      </c>
      <c r="N36" s="57">
        <f t="shared" ref="N36:P36" si="23">SUM(E36,H36,K36)</f>
        <v>0</v>
      </c>
      <c r="O36" s="57">
        <f t="shared" si="23"/>
        <v>0</v>
      </c>
      <c r="P36" s="57">
        <f t="shared" si="23"/>
        <v>782</v>
      </c>
    </row>
    <row r="37" ht="17.25" customHeight="1">
      <c r="A37" s="1"/>
      <c r="B37" s="67"/>
      <c r="C37" s="169" t="s">
        <v>44</v>
      </c>
      <c r="D37" s="57"/>
      <c r="E37" s="57"/>
      <c r="F37" s="57"/>
      <c r="G37" s="91">
        <f>SUM(E37:F37)</f>
        <v>0</v>
      </c>
      <c r="H37" s="57"/>
      <c r="I37" s="57"/>
      <c r="J37" s="57"/>
      <c r="K37" s="57"/>
      <c r="L37" s="53"/>
      <c r="M37" s="57"/>
      <c r="N37" s="57"/>
      <c r="O37" s="57"/>
      <c r="P37" s="57"/>
    </row>
    <row r="38" ht="24.0" customHeight="1">
      <c r="A38" s="1"/>
      <c r="B38" s="112" t="s">
        <v>45</v>
      </c>
      <c r="C38" s="113"/>
      <c r="D38" s="172"/>
      <c r="E38" s="116">
        <f t="shared" ref="E38:P38" si="24">SUM(E15:E37)</f>
        <v>675</v>
      </c>
      <c r="F38" s="116">
        <f t="shared" si="24"/>
        <v>713</v>
      </c>
      <c r="G38" s="116">
        <f t="shared" si="24"/>
        <v>26672</v>
      </c>
      <c r="H38" s="116">
        <f t="shared" si="24"/>
        <v>0</v>
      </c>
      <c r="I38" s="116">
        <f t="shared" si="24"/>
        <v>0</v>
      </c>
      <c r="J38" s="116">
        <f t="shared" si="24"/>
        <v>0</v>
      </c>
      <c r="K38" s="116">
        <f t="shared" si="24"/>
        <v>0</v>
      </c>
      <c r="L38" s="116">
        <f t="shared" si="24"/>
        <v>0</v>
      </c>
      <c r="M38" s="116">
        <f t="shared" si="24"/>
        <v>0</v>
      </c>
      <c r="N38" s="116">
        <f t="shared" si="24"/>
        <v>675</v>
      </c>
      <c r="O38" s="116">
        <f t="shared" si="24"/>
        <v>713</v>
      </c>
      <c r="P38" s="116">
        <f t="shared" si="24"/>
        <v>26672</v>
      </c>
    </row>
    <row r="39" ht="15.75" customHeight="1">
      <c r="A39" s="1"/>
      <c r="B39" s="117" t="s">
        <v>46</v>
      </c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</row>
    <row r="40" ht="21.0" customHeight="1">
      <c r="A40" s="1"/>
      <c r="B40" s="118" t="s">
        <v>47</v>
      </c>
      <c r="C40" s="27"/>
      <c r="D40" s="27"/>
      <c r="E40" s="27"/>
      <c r="F40" s="27"/>
      <c r="G40" s="27"/>
      <c r="H40" s="27"/>
      <c r="I40" s="27"/>
      <c r="J40" s="56"/>
      <c r="K40" s="119"/>
      <c r="L40" s="119"/>
      <c r="M40" s="119"/>
      <c r="N40" s="119"/>
      <c r="O40" s="119"/>
      <c r="P40" s="119"/>
    </row>
    <row r="41" ht="21.0" customHeight="1">
      <c r="A41" s="1"/>
      <c r="B41" s="120" t="s">
        <v>9</v>
      </c>
      <c r="C41" s="56"/>
      <c r="D41" s="121">
        <v>45901.0</v>
      </c>
      <c r="E41" s="27"/>
      <c r="F41" s="27"/>
      <c r="G41" s="27"/>
      <c r="H41" s="27"/>
      <c r="I41" s="27"/>
      <c r="J41" s="56"/>
      <c r="K41" s="1"/>
      <c r="L41" s="1"/>
      <c r="M41" s="1"/>
      <c r="N41" s="1"/>
      <c r="O41" s="1"/>
      <c r="P41" s="1"/>
    </row>
    <row r="42" ht="21.0" customHeight="1">
      <c r="A42" s="1"/>
      <c r="B42" s="122"/>
      <c r="C42" s="123" t="s">
        <v>12</v>
      </c>
      <c r="D42" s="124" t="s">
        <v>17</v>
      </c>
      <c r="E42" s="125" t="s">
        <v>92</v>
      </c>
      <c r="F42" s="125" t="s">
        <v>93</v>
      </c>
      <c r="G42" s="125" t="s">
        <v>94</v>
      </c>
      <c r="H42" s="126" t="s">
        <v>51</v>
      </c>
      <c r="I42" s="126" t="s">
        <v>52</v>
      </c>
      <c r="J42" s="126" t="s">
        <v>53</v>
      </c>
      <c r="K42" s="1"/>
      <c r="L42" s="1"/>
      <c r="M42" s="1"/>
      <c r="N42" s="1"/>
      <c r="O42" s="1"/>
      <c r="P42" s="1"/>
    </row>
    <row r="43" ht="26.25" customHeight="1">
      <c r="A43" s="1"/>
      <c r="B43" s="34"/>
      <c r="C43" s="34"/>
      <c r="D43" s="34"/>
      <c r="E43" s="34"/>
      <c r="F43" s="34"/>
      <c r="G43" s="34"/>
      <c r="H43" s="34"/>
      <c r="I43" s="34"/>
      <c r="J43" s="34"/>
      <c r="K43" s="1"/>
      <c r="L43" s="1"/>
      <c r="M43" s="1"/>
      <c r="N43" s="1"/>
      <c r="O43" s="1"/>
      <c r="P43" s="1"/>
    </row>
    <row r="44" ht="47.25" customHeight="1">
      <c r="A44" s="1"/>
      <c r="B44" s="46"/>
      <c r="C44" s="46"/>
      <c r="D44" s="46"/>
      <c r="E44" s="46"/>
      <c r="F44" s="46"/>
      <c r="G44" s="46"/>
      <c r="H44" s="46"/>
      <c r="I44" s="46"/>
      <c r="J44" s="46"/>
      <c r="K44" s="1"/>
      <c r="L44" s="1"/>
      <c r="M44" s="1"/>
      <c r="N44" s="1"/>
      <c r="O44" s="1"/>
      <c r="P44" s="1"/>
    </row>
    <row r="45" ht="21.0" customHeight="1">
      <c r="A45" s="1"/>
      <c r="B45" s="53">
        <v>1.0</v>
      </c>
      <c r="C45" s="127" t="s">
        <v>54</v>
      </c>
      <c r="D45" s="57"/>
      <c r="E45" s="57"/>
      <c r="F45" s="81">
        <v>924.0</v>
      </c>
      <c r="G45" s="81">
        <v>462.0</v>
      </c>
      <c r="H45" s="57"/>
      <c r="I45" s="57"/>
      <c r="J45" s="57"/>
      <c r="K45" s="1"/>
      <c r="L45" s="1"/>
      <c r="M45" s="1"/>
      <c r="N45" s="1"/>
      <c r="O45" s="1"/>
      <c r="P45" s="1"/>
    </row>
    <row r="46" ht="27.0" customHeight="1">
      <c r="A46" s="128"/>
      <c r="B46" s="129">
        <v>2.0</v>
      </c>
      <c r="C46" s="73" t="s">
        <v>27</v>
      </c>
      <c r="D46" s="130"/>
      <c r="E46" s="149">
        <v>26.0</v>
      </c>
      <c r="F46" s="149">
        <v>26.0</v>
      </c>
      <c r="G46" s="149">
        <v>15.0</v>
      </c>
      <c r="H46" s="131"/>
      <c r="I46" s="131"/>
      <c r="J46" s="131"/>
      <c r="K46" s="132"/>
      <c r="L46" s="132"/>
      <c r="M46" s="132"/>
      <c r="N46" s="132"/>
      <c r="O46" s="132"/>
      <c r="P46" s="132"/>
    </row>
    <row r="47" ht="21.0" customHeight="1">
      <c r="A47" s="1"/>
      <c r="B47" s="53">
        <v>3.0</v>
      </c>
      <c r="C47" s="133" t="s">
        <v>55</v>
      </c>
      <c r="D47" s="57"/>
      <c r="E47" s="55" t="s">
        <v>23</v>
      </c>
      <c r="F47" s="27"/>
      <c r="G47" s="56"/>
      <c r="H47" s="57"/>
      <c r="I47" s="57"/>
      <c r="J47" s="57"/>
      <c r="K47" s="1"/>
      <c r="L47" s="1"/>
      <c r="M47" s="1"/>
      <c r="N47" s="1"/>
      <c r="O47" s="1"/>
      <c r="P47" s="1"/>
    </row>
    <row r="48" ht="21.0" customHeight="1">
      <c r="A48" s="1"/>
      <c r="B48" s="53">
        <v>4.0</v>
      </c>
      <c r="C48" s="133" t="s">
        <v>56</v>
      </c>
      <c r="D48" s="57"/>
      <c r="E48" s="81">
        <v>279.0</v>
      </c>
      <c r="F48" s="81">
        <v>436.0</v>
      </c>
      <c r="G48" s="81">
        <v>248.0</v>
      </c>
      <c r="H48" s="57"/>
      <c r="I48" s="57"/>
      <c r="J48" s="57"/>
      <c r="K48" s="1"/>
      <c r="L48" s="1"/>
      <c r="M48" s="1"/>
      <c r="N48" s="1"/>
      <c r="O48" s="1"/>
      <c r="P48" s="1"/>
    </row>
    <row r="49" ht="21.0" customHeight="1">
      <c r="A49" s="1"/>
      <c r="B49" s="53">
        <v>5.0</v>
      </c>
      <c r="C49" s="127" t="s">
        <v>57</v>
      </c>
      <c r="D49" s="135"/>
      <c r="E49" s="206" t="s">
        <v>95</v>
      </c>
      <c r="F49" s="27"/>
      <c r="G49" s="56"/>
      <c r="H49" s="53"/>
      <c r="I49" s="53"/>
      <c r="J49" s="53"/>
      <c r="K49" s="1"/>
      <c r="L49" s="1"/>
      <c r="M49" s="1"/>
      <c r="N49" s="1"/>
      <c r="O49" s="1"/>
      <c r="P49" s="1"/>
    </row>
    <row r="50" ht="21.0" customHeight="1">
      <c r="A50" s="1"/>
      <c r="B50" s="53">
        <v>6.0</v>
      </c>
      <c r="C50" s="133" t="s">
        <v>58</v>
      </c>
      <c r="D50" s="57"/>
      <c r="E50" s="55" t="s">
        <v>23</v>
      </c>
      <c r="F50" s="27"/>
      <c r="G50" s="56"/>
      <c r="H50" s="57"/>
      <c r="I50" s="57"/>
      <c r="J50" s="57"/>
      <c r="K50" s="1"/>
      <c r="L50" s="1"/>
      <c r="M50" s="1"/>
      <c r="N50" s="1"/>
      <c r="O50" s="1"/>
      <c r="P50" s="1"/>
    </row>
    <row r="51" ht="21.0" customHeight="1">
      <c r="A51" s="1"/>
      <c r="B51" s="53">
        <v>7.0</v>
      </c>
      <c r="C51" s="137" t="s">
        <v>59</v>
      </c>
      <c r="D51" s="57"/>
      <c r="E51" s="81">
        <v>82.0</v>
      </c>
      <c r="F51" s="81">
        <v>42.0</v>
      </c>
      <c r="G51" s="81">
        <v>124.0</v>
      </c>
      <c r="H51" s="57"/>
      <c r="I51" s="57"/>
      <c r="J51" s="57"/>
      <c r="K51" s="1"/>
      <c r="L51" s="1"/>
      <c r="M51" s="1"/>
      <c r="N51" s="1"/>
      <c r="O51" s="1"/>
      <c r="P51" s="1"/>
    </row>
    <row r="52" ht="21.0" customHeight="1">
      <c r="A52" s="1"/>
      <c r="B52" s="53">
        <v>8.0</v>
      </c>
      <c r="C52" s="133" t="s">
        <v>60</v>
      </c>
      <c r="D52" s="57"/>
      <c r="E52" s="81">
        <v>18.0</v>
      </c>
      <c r="F52" s="81">
        <v>18.0</v>
      </c>
      <c r="G52" s="81">
        <v>9.0</v>
      </c>
      <c r="H52" s="57"/>
      <c r="I52" s="57"/>
      <c r="J52" s="57"/>
      <c r="K52" s="1"/>
      <c r="L52" s="1"/>
      <c r="M52" s="1"/>
      <c r="N52" s="1"/>
      <c r="O52" s="1"/>
      <c r="P52" s="1"/>
    </row>
    <row r="53" ht="21.0" customHeight="1">
      <c r="A53" s="1"/>
      <c r="B53" s="53">
        <v>9.0</v>
      </c>
      <c r="C53" s="133" t="s">
        <v>61</v>
      </c>
      <c r="D53" s="57"/>
      <c r="E53" s="81">
        <v>155.0</v>
      </c>
      <c r="F53" s="81">
        <v>155.0</v>
      </c>
      <c r="G53" s="81">
        <v>84.0</v>
      </c>
      <c r="H53" s="57"/>
      <c r="I53" s="57"/>
      <c r="J53" s="57"/>
      <c r="K53" s="1"/>
      <c r="L53" s="1"/>
      <c r="M53" s="1"/>
      <c r="N53" s="1"/>
      <c r="O53" s="1"/>
      <c r="P53" s="1"/>
    </row>
    <row r="54" ht="21.0" customHeight="1">
      <c r="A54" s="1"/>
      <c r="B54" s="196">
        <v>10.0</v>
      </c>
      <c r="C54" s="133" t="s">
        <v>85</v>
      </c>
      <c r="D54" s="57"/>
      <c r="E54" s="207">
        <v>2.0</v>
      </c>
      <c r="F54" s="208">
        <v>2.0</v>
      </c>
      <c r="G54" s="207">
        <v>1.0</v>
      </c>
      <c r="H54" s="57"/>
      <c r="I54" s="57"/>
      <c r="J54" s="57"/>
      <c r="K54" s="1"/>
      <c r="L54" s="1"/>
      <c r="M54" s="1"/>
      <c r="N54" s="1"/>
      <c r="O54" s="1"/>
      <c r="P54" s="1"/>
    </row>
    <row r="55" ht="21.0" customHeight="1">
      <c r="A55" s="1"/>
      <c r="B55" s="138" t="s">
        <v>45</v>
      </c>
      <c r="C55" s="56"/>
      <c r="D55" s="139"/>
      <c r="E55" s="140">
        <f t="shared" ref="E55:G55" si="25">SUM(E45:E54)</f>
        <v>562</v>
      </c>
      <c r="F55" s="140">
        <f t="shared" si="25"/>
        <v>1603</v>
      </c>
      <c r="G55" s="140">
        <f t="shared" si="25"/>
        <v>943</v>
      </c>
      <c r="H55" s="140"/>
      <c r="I55" s="140"/>
      <c r="J55" s="140"/>
      <c r="K55" s="1"/>
      <c r="L55" s="1"/>
      <c r="M55" s="1"/>
      <c r="N55" s="1"/>
      <c r="O55" s="1"/>
      <c r="P55" s="1"/>
    </row>
    <row r="56" ht="21.0" customHeight="1">
      <c r="A56" s="1"/>
      <c r="B56" s="117" t="s">
        <v>62</v>
      </c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</row>
    <row r="57" ht="15.0" customHeight="1">
      <c r="A57" s="1"/>
      <c r="B57" s="117" t="s">
        <v>63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</row>
    <row r="58" ht="13.5" customHeight="1">
      <c r="A58" s="1"/>
      <c r="B58" s="117" t="s">
        <v>64</v>
      </c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</row>
  </sheetData>
  <mergeCells count="39">
    <mergeCell ref="N11:P13"/>
    <mergeCell ref="K12:M13"/>
    <mergeCell ref="E13:G13"/>
    <mergeCell ref="H13:J13"/>
    <mergeCell ref="H4:I4"/>
    <mergeCell ref="B10:P10"/>
    <mergeCell ref="B11:C11"/>
    <mergeCell ref="E11:M11"/>
    <mergeCell ref="B12:B14"/>
    <mergeCell ref="C12:C14"/>
    <mergeCell ref="E12:J12"/>
    <mergeCell ref="D15:F15"/>
    <mergeCell ref="D16:F16"/>
    <mergeCell ref="D20:F20"/>
    <mergeCell ref="D21:F21"/>
    <mergeCell ref="D22:F22"/>
    <mergeCell ref="D23:F23"/>
    <mergeCell ref="D24:F24"/>
    <mergeCell ref="D25:F25"/>
    <mergeCell ref="D28:F28"/>
    <mergeCell ref="D31:F31"/>
    <mergeCell ref="D35:F35"/>
    <mergeCell ref="B38:C38"/>
    <mergeCell ref="B40:J40"/>
    <mergeCell ref="D41:J41"/>
    <mergeCell ref="H42:H44"/>
    <mergeCell ref="I42:I44"/>
    <mergeCell ref="J42:J44"/>
    <mergeCell ref="E47:G47"/>
    <mergeCell ref="E49:G49"/>
    <mergeCell ref="E50:G50"/>
    <mergeCell ref="B55:C55"/>
    <mergeCell ref="B41:C41"/>
    <mergeCell ref="B42:B44"/>
    <mergeCell ref="C42:C44"/>
    <mergeCell ref="D42:D44"/>
    <mergeCell ref="E42:E44"/>
    <mergeCell ref="F42:F44"/>
    <mergeCell ref="G42:G44"/>
  </mergeCells>
  <printOptions horizontalCentered="1"/>
  <pageMargins bottom="0.2018111254851229" footer="0.0" header="0.0" left="0.5213454075032341" right="0.5213454075032341" top="0.0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 fitToPage="1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5.63"/>
    <col customWidth="1" min="3" max="3" width="32.38"/>
    <col customWidth="1" min="4" max="4" width="9.13"/>
    <col customWidth="1" min="5" max="14" width="7.63"/>
    <col customWidth="1" min="15" max="15" width="10.38"/>
    <col customWidth="1" min="16" max="16" width="10.75"/>
  </cols>
  <sheetData>
    <row r="1" ht="13.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 t="s">
        <v>1</v>
      </c>
    </row>
    <row r="2" ht="14.25" customHeight="1">
      <c r="A2" s="1"/>
      <c r="B2" s="3" t="s">
        <v>2</v>
      </c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8.25" customHeight="1">
      <c r="A3" s="1"/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5.75" customHeight="1">
      <c r="A4" s="1"/>
      <c r="B4" s="1"/>
      <c r="C4" s="1"/>
      <c r="D4" s="1"/>
      <c r="E4" s="1"/>
      <c r="F4" s="4" t="s">
        <v>3</v>
      </c>
      <c r="G4" s="4"/>
      <c r="H4" s="141">
        <v>45931.0</v>
      </c>
      <c r="I4" s="6"/>
      <c r="J4" s="7"/>
      <c r="K4" s="7"/>
      <c r="L4" s="7"/>
      <c r="M4" s="7"/>
      <c r="N4" s="7"/>
      <c r="O4" s="7"/>
      <c r="P4" s="8"/>
    </row>
    <row r="5" ht="15.75" customHeight="1">
      <c r="A5" s="1"/>
      <c r="B5" s="1"/>
      <c r="C5" s="1"/>
      <c r="D5" s="1"/>
      <c r="E5" s="1"/>
      <c r="F5" s="4" t="s">
        <v>4</v>
      </c>
      <c r="G5" s="4"/>
      <c r="H5" s="9" t="s">
        <v>5</v>
      </c>
      <c r="I5" s="9"/>
      <c r="J5" s="9"/>
      <c r="K5" s="9"/>
      <c r="L5" s="9"/>
      <c r="M5" s="9"/>
      <c r="N5" s="9"/>
      <c r="O5" s="9"/>
      <c r="P5" s="8"/>
    </row>
    <row r="6" ht="15.75" customHeight="1">
      <c r="A6" s="1"/>
      <c r="B6" s="1"/>
      <c r="C6" s="1"/>
      <c r="D6" s="1"/>
      <c r="E6" s="1"/>
      <c r="F6" s="4" t="s">
        <v>6</v>
      </c>
      <c r="G6" s="4"/>
      <c r="H6" s="7"/>
      <c r="I6" s="7"/>
      <c r="J6" s="7"/>
      <c r="K6" s="7"/>
      <c r="L6" s="7"/>
      <c r="M6" s="7"/>
      <c r="N6" s="7"/>
      <c r="O6" s="7"/>
      <c r="P6" s="8"/>
    </row>
    <row r="7" ht="15.75" customHeight="1">
      <c r="A7" s="1"/>
      <c r="B7" s="1"/>
      <c r="C7" s="1"/>
      <c r="D7" s="10"/>
      <c r="E7" s="10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ht="15.75" customHeight="1">
      <c r="A8" s="1"/>
      <c r="B8" s="1"/>
      <c r="C8" s="1"/>
      <c r="D8" s="4"/>
      <c r="E8" s="4" t="s">
        <v>7</v>
      </c>
      <c r="F8" s="11"/>
      <c r="G8" s="8"/>
      <c r="H8" s="10"/>
      <c r="I8" s="10"/>
      <c r="J8" s="10"/>
      <c r="K8" s="10"/>
      <c r="L8" s="10"/>
      <c r="M8" s="10"/>
      <c r="N8" s="10"/>
      <c r="O8" s="10"/>
      <c r="P8" s="1"/>
    </row>
    <row r="9" ht="17.25" customHeight="1">
      <c r="A9" s="1"/>
      <c r="B9" s="1"/>
      <c r="C9" s="1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ht="17.25" customHeight="1">
      <c r="A10" s="1"/>
      <c r="B10" s="12" t="s">
        <v>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ht="16.5" customHeight="1">
      <c r="A11" s="1"/>
      <c r="B11" s="14" t="s">
        <v>9</v>
      </c>
      <c r="C11" s="15"/>
      <c r="D11" s="16"/>
      <c r="E11" s="17" t="s">
        <v>10</v>
      </c>
      <c r="F11" s="18"/>
      <c r="G11" s="18"/>
      <c r="H11" s="18"/>
      <c r="I11" s="18"/>
      <c r="J11" s="18"/>
      <c r="K11" s="18"/>
      <c r="L11" s="18"/>
      <c r="M11" s="19"/>
      <c r="N11" s="20" t="s">
        <v>11</v>
      </c>
      <c r="O11" s="21"/>
      <c r="P11" s="22"/>
    </row>
    <row r="12" ht="15.0" customHeight="1">
      <c r="A12" s="1"/>
      <c r="B12" s="23"/>
      <c r="C12" s="24" t="s">
        <v>12</v>
      </c>
      <c r="D12" s="25"/>
      <c r="E12" s="26" t="s">
        <v>13</v>
      </c>
      <c r="F12" s="27"/>
      <c r="G12" s="27"/>
      <c r="H12" s="27"/>
      <c r="I12" s="27"/>
      <c r="J12" s="27"/>
      <c r="K12" s="28" t="s">
        <v>14</v>
      </c>
      <c r="L12" s="29"/>
      <c r="M12" s="30"/>
      <c r="N12" s="31"/>
      <c r="P12" s="32"/>
    </row>
    <row r="13" ht="28.5" customHeight="1">
      <c r="A13" s="1"/>
      <c r="B13" s="33"/>
      <c r="C13" s="34"/>
      <c r="D13" s="35"/>
      <c r="E13" s="36" t="s">
        <v>15</v>
      </c>
      <c r="F13" s="37"/>
      <c r="G13" s="38"/>
      <c r="H13" s="36" t="s">
        <v>16</v>
      </c>
      <c r="I13" s="37"/>
      <c r="J13" s="38"/>
      <c r="K13" s="39"/>
      <c r="L13" s="40"/>
      <c r="M13" s="41"/>
      <c r="N13" s="42"/>
      <c r="O13" s="43"/>
      <c r="P13" s="44"/>
    </row>
    <row r="14" ht="36.75" customHeight="1">
      <c r="A14" s="1"/>
      <c r="B14" s="45"/>
      <c r="C14" s="46"/>
      <c r="D14" s="47" t="s">
        <v>17</v>
      </c>
      <c r="E14" s="48" t="s">
        <v>18</v>
      </c>
      <c r="F14" s="49" t="s">
        <v>19</v>
      </c>
      <c r="G14" s="50" t="s">
        <v>20</v>
      </c>
      <c r="H14" s="48" t="s">
        <v>18</v>
      </c>
      <c r="I14" s="51" t="s">
        <v>19</v>
      </c>
      <c r="J14" s="50" t="s">
        <v>20</v>
      </c>
      <c r="K14" s="48" t="s">
        <v>21</v>
      </c>
      <c r="L14" s="51" t="s">
        <v>19</v>
      </c>
      <c r="M14" s="52" t="s">
        <v>20</v>
      </c>
      <c r="N14" s="50" t="s">
        <v>18</v>
      </c>
      <c r="O14" s="50" t="s">
        <v>19</v>
      </c>
      <c r="P14" s="50" t="s">
        <v>20</v>
      </c>
    </row>
    <row r="15" ht="17.25" customHeight="1">
      <c r="A15" s="1"/>
      <c r="B15" s="53">
        <v>1.0</v>
      </c>
      <c r="C15" s="54" t="s">
        <v>22</v>
      </c>
      <c r="D15" s="55" t="s">
        <v>23</v>
      </c>
      <c r="E15" s="27"/>
      <c r="F15" s="56"/>
      <c r="G15" s="81">
        <v>0.0</v>
      </c>
      <c r="H15" s="57"/>
      <c r="I15" s="57"/>
      <c r="J15" s="81">
        <v>0.0</v>
      </c>
      <c r="K15" s="107">
        <v>0.0</v>
      </c>
      <c r="L15" s="197">
        <v>0.0</v>
      </c>
      <c r="M15" s="57">
        <f t="shared" ref="M15:M29" si="2">SUM(K15:L15)</f>
        <v>0</v>
      </c>
      <c r="N15" s="57">
        <f t="shared" ref="N15:P15" si="1">SUM(E15,H15,K15)</f>
        <v>0</v>
      </c>
      <c r="O15" s="57">
        <f t="shared" si="1"/>
        <v>0</v>
      </c>
      <c r="P15" s="57">
        <f t="shared" si="1"/>
        <v>0</v>
      </c>
    </row>
    <row r="16" ht="17.25" customHeight="1">
      <c r="A16" s="1"/>
      <c r="B16" s="60">
        <v>2.0</v>
      </c>
      <c r="C16" s="61" t="s">
        <v>24</v>
      </c>
      <c r="D16" s="55" t="s">
        <v>23</v>
      </c>
      <c r="E16" s="27"/>
      <c r="F16" s="56"/>
      <c r="G16" s="81">
        <v>0.0</v>
      </c>
      <c r="H16" s="64"/>
      <c r="I16" s="65"/>
      <c r="J16" s="81">
        <v>0.0</v>
      </c>
      <c r="K16" s="107">
        <v>0.0</v>
      </c>
      <c r="L16" s="197">
        <v>0.0</v>
      </c>
      <c r="M16" s="57">
        <f t="shared" si="2"/>
        <v>0</v>
      </c>
      <c r="N16" s="57">
        <f t="shared" ref="N16:P16" si="3">SUM(E16,H16,K16)</f>
        <v>0</v>
      </c>
      <c r="O16" s="57">
        <f t="shared" si="3"/>
        <v>0</v>
      </c>
      <c r="P16" s="57">
        <f t="shared" si="3"/>
        <v>0</v>
      </c>
    </row>
    <row r="17" ht="17.25" customHeight="1">
      <c r="A17" s="1"/>
      <c r="B17" s="67">
        <v>3.0</v>
      </c>
      <c r="C17" s="54" t="s">
        <v>25</v>
      </c>
      <c r="D17" s="55" t="s">
        <v>23</v>
      </c>
      <c r="E17" s="27"/>
      <c r="F17" s="56"/>
      <c r="G17" s="81">
        <v>0.0</v>
      </c>
      <c r="H17" s="70"/>
      <c r="I17" s="57"/>
      <c r="J17" s="81">
        <v>0.0</v>
      </c>
      <c r="K17" s="107">
        <v>0.0</v>
      </c>
      <c r="L17" s="197">
        <v>0.0</v>
      </c>
      <c r="M17" s="57">
        <f t="shared" si="2"/>
        <v>0</v>
      </c>
      <c r="N17" s="57">
        <f t="shared" ref="N17:P17" si="4">SUM(E17,H17,K17)</f>
        <v>0</v>
      </c>
      <c r="O17" s="57">
        <f t="shared" si="4"/>
        <v>0</v>
      </c>
      <c r="P17" s="57">
        <f t="shared" si="4"/>
        <v>0</v>
      </c>
    </row>
    <row r="18" ht="17.25" customHeight="1">
      <c r="A18" s="1"/>
      <c r="B18" s="67">
        <v>4.0</v>
      </c>
      <c r="C18" s="54" t="s">
        <v>26</v>
      </c>
      <c r="D18" s="74"/>
      <c r="E18" s="209">
        <v>214.0</v>
      </c>
      <c r="F18" s="210">
        <v>189.0</v>
      </c>
      <c r="G18" s="81">
        <v>403.0</v>
      </c>
      <c r="H18" s="70"/>
      <c r="I18" s="57"/>
      <c r="J18" s="81">
        <v>0.0</v>
      </c>
      <c r="K18" s="107">
        <v>0.0</v>
      </c>
      <c r="L18" s="197">
        <v>0.0</v>
      </c>
      <c r="M18" s="57">
        <f t="shared" si="2"/>
        <v>0</v>
      </c>
      <c r="N18" s="57">
        <f t="shared" ref="N18:P18" si="5">SUM(E18,H18,K18)</f>
        <v>214</v>
      </c>
      <c r="O18" s="57">
        <f t="shared" si="5"/>
        <v>189</v>
      </c>
      <c r="P18" s="57">
        <f t="shared" si="5"/>
        <v>403</v>
      </c>
    </row>
    <row r="19" ht="17.25" customHeight="1">
      <c r="A19" s="1"/>
      <c r="B19" s="67">
        <v>5.0</v>
      </c>
      <c r="C19" s="73" t="s">
        <v>27</v>
      </c>
      <c r="D19" s="74"/>
      <c r="E19" s="70"/>
      <c r="F19" s="75"/>
      <c r="G19" s="81">
        <v>837.0</v>
      </c>
      <c r="H19" s="70"/>
      <c r="I19" s="57"/>
      <c r="J19" s="81">
        <v>0.0</v>
      </c>
      <c r="K19" s="107">
        <v>0.0</v>
      </c>
      <c r="L19" s="197">
        <v>0.0</v>
      </c>
      <c r="M19" s="57">
        <f t="shared" si="2"/>
        <v>0</v>
      </c>
      <c r="N19" s="57">
        <f t="shared" ref="N19:P19" si="6">SUM(E19,H19,K19)</f>
        <v>0</v>
      </c>
      <c r="O19" s="57">
        <f t="shared" si="6"/>
        <v>0</v>
      </c>
      <c r="P19" s="57">
        <f t="shared" si="6"/>
        <v>837</v>
      </c>
    </row>
    <row r="20" ht="17.25" customHeight="1">
      <c r="A20" s="1"/>
      <c r="B20" s="67">
        <v>6.0</v>
      </c>
      <c r="C20" s="54" t="s">
        <v>28</v>
      </c>
      <c r="D20" s="55" t="s">
        <v>23</v>
      </c>
      <c r="E20" s="27"/>
      <c r="F20" s="56"/>
      <c r="G20" s="81">
        <v>0.0</v>
      </c>
      <c r="H20" s="70"/>
      <c r="I20" s="57"/>
      <c r="J20" s="81">
        <v>0.0</v>
      </c>
      <c r="K20" s="107">
        <v>0.0</v>
      </c>
      <c r="L20" s="197">
        <v>0.0</v>
      </c>
      <c r="M20" s="57">
        <f t="shared" si="2"/>
        <v>0</v>
      </c>
      <c r="N20" s="57">
        <f t="shared" ref="N20:P20" si="7">SUM(E20,H20,K20)</f>
        <v>0</v>
      </c>
      <c r="O20" s="57">
        <f t="shared" si="7"/>
        <v>0</v>
      </c>
      <c r="P20" s="57">
        <f t="shared" si="7"/>
        <v>0</v>
      </c>
    </row>
    <row r="21" ht="17.25" customHeight="1">
      <c r="A21" s="1"/>
      <c r="B21" s="67">
        <v>7.0</v>
      </c>
      <c r="C21" s="54" t="s">
        <v>29</v>
      </c>
      <c r="D21" s="55" t="s">
        <v>23</v>
      </c>
      <c r="E21" s="27"/>
      <c r="F21" s="56"/>
      <c r="G21" s="81">
        <v>0.0</v>
      </c>
      <c r="H21" s="70"/>
      <c r="I21" s="57"/>
      <c r="J21" s="81">
        <v>0.0</v>
      </c>
      <c r="K21" s="107">
        <v>0.0</v>
      </c>
      <c r="L21" s="197">
        <v>0.0</v>
      </c>
      <c r="M21" s="57">
        <f t="shared" si="2"/>
        <v>0</v>
      </c>
      <c r="N21" s="57">
        <f t="shared" ref="N21:P21" si="8">SUM(E21,H21,K21)</f>
        <v>0</v>
      </c>
      <c r="O21" s="57">
        <f t="shared" si="8"/>
        <v>0</v>
      </c>
      <c r="P21" s="57">
        <f t="shared" si="8"/>
        <v>0</v>
      </c>
    </row>
    <row r="22" ht="17.25" customHeight="1">
      <c r="A22" s="1"/>
      <c r="B22" s="67">
        <v>8.0</v>
      </c>
      <c r="C22" s="54" t="s">
        <v>30</v>
      </c>
      <c r="D22" s="55" t="s">
        <v>23</v>
      </c>
      <c r="E22" s="27"/>
      <c r="F22" s="56"/>
      <c r="G22" s="81">
        <v>0.0</v>
      </c>
      <c r="H22" s="70"/>
      <c r="I22" s="57"/>
      <c r="J22" s="81">
        <v>0.0</v>
      </c>
      <c r="K22" s="107">
        <v>0.0</v>
      </c>
      <c r="L22" s="197">
        <v>0.0</v>
      </c>
      <c r="M22" s="57">
        <f t="shared" si="2"/>
        <v>0</v>
      </c>
      <c r="N22" s="57">
        <f t="shared" ref="N22:P22" si="9">SUM(E22,H22,K22)</f>
        <v>0</v>
      </c>
      <c r="O22" s="57">
        <f t="shared" si="9"/>
        <v>0</v>
      </c>
      <c r="P22" s="57">
        <f t="shared" si="9"/>
        <v>0</v>
      </c>
    </row>
    <row r="23" ht="17.25" customHeight="1">
      <c r="A23" s="1"/>
      <c r="B23" s="67">
        <v>9.0</v>
      </c>
      <c r="C23" s="54" t="s">
        <v>31</v>
      </c>
      <c r="D23" s="55" t="s">
        <v>23</v>
      </c>
      <c r="E23" s="27"/>
      <c r="F23" s="56"/>
      <c r="G23" s="81">
        <v>0.0</v>
      </c>
      <c r="H23" s="70"/>
      <c r="I23" s="57"/>
      <c r="J23" s="81">
        <v>0.0</v>
      </c>
      <c r="K23" s="107">
        <v>0.0</v>
      </c>
      <c r="L23" s="197">
        <v>0.0</v>
      </c>
      <c r="M23" s="57">
        <f t="shared" si="2"/>
        <v>0</v>
      </c>
      <c r="N23" s="57">
        <f t="shared" ref="N23:P23" si="10">SUM(E23,H23,K23)</f>
        <v>0</v>
      </c>
      <c r="O23" s="57">
        <f t="shared" si="10"/>
        <v>0</v>
      </c>
      <c r="P23" s="57">
        <f t="shared" si="10"/>
        <v>0</v>
      </c>
    </row>
    <row r="24" ht="17.25" customHeight="1">
      <c r="A24" s="1"/>
      <c r="B24" s="67">
        <v>10.0</v>
      </c>
      <c r="C24" s="146" t="s">
        <v>32</v>
      </c>
      <c r="D24" s="55" t="s">
        <v>23</v>
      </c>
      <c r="E24" s="27"/>
      <c r="F24" s="56"/>
      <c r="G24" s="81">
        <v>0.0</v>
      </c>
      <c r="H24" s="70"/>
      <c r="I24" s="57"/>
      <c r="J24" s="81">
        <v>0.0</v>
      </c>
      <c r="K24" s="107">
        <v>0.0</v>
      </c>
      <c r="L24" s="197">
        <v>0.0</v>
      </c>
      <c r="M24" s="57">
        <f t="shared" si="2"/>
        <v>0</v>
      </c>
      <c r="N24" s="57">
        <f t="shared" ref="N24:P24" si="11">SUM(E24,H24,K24)</f>
        <v>0</v>
      </c>
      <c r="O24" s="57">
        <f t="shared" si="11"/>
        <v>0</v>
      </c>
      <c r="P24" s="57">
        <f t="shared" si="11"/>
        <v>0</v>
      </c>
    </row>
    <row r="25" ht="17.25" customHeight="1">
      <c r="A25" s="1"/>
      <c r="B25" s="67">
        <v>11.0</v>
      </c>
      <c r="C25" s="54" t="s">
        <v>65</v>
      </c>
      <c r="D25" s="55" t="s">
        <v>23</v>
      </c>
      <c r="E25" s="27"/>
      <c r="F25" s="56"/>
      <c r="G25" s="81">
        <v>0.0</v>
      </c>
      <c r="H25" s="70"/>
      <c r="I25" s="57"/>
      <c r="J25" s="81">
        <v>0.0</v>
      </c>
      <c r="K25" s="107">
        <v>0.0</v>
      </c>
      <c r="L25" s="197">
        <v>0.0</v>
      </c>
      <c r="M25" s="57">
        <f t="shared" si="2"/>
        <v>0</v>
      </c>
      <c r="N25" s="57">
        <f t="shared" ref="N25:P25" si="12">SUM(E25,H25,K25)</f>
        <v>0</v>
      </c>
      <c r="O25" s="57">
        <f t="shared" si="12"/>
        <v>0</v>
      </c>
      <c r="P25" s="57">
        <f t="shared" si="12"/>
        <v>0</v>
      </c>
    </row>
    <row r="26" ht="17.25" customHeight="1">
      <c r="A26" s="1"/>
      <c r="B26" s="67">
        <v>12.0</v>
      </c>
      <c r="C26" s="54" t="s">
        <v>66</v>
      </c>
      <c r="D26" s="55" t="s">
        <v>23</v>
      </c>
      <c r="E26" s="27"/>
      <c r="F26" s="56"/>
      <c r="G26" s="81">
        <v>0.0</v>
      </c>
      <c r="H26" s="70"/>
      <c r="I26" s="57"/>
      <c r="J26" s="81">
        <v>0.0</v>
      </c>
      <c r="K26" s="107">
        <v>0.0</v>
      </c>
      <c r="L26" s="197">
        <v>0.0</v>
      </c>
      <c r="M26" s="57">
        <f t="shared" si="2"/>
        <v>0</v>
      </c>
      <c r="N26" s="57">
        <f t="shared" ref="N26:P26" si="13">SUM(E26,H26,K26)</f>
        <v>0</v>
      </c>
      <c r="O26" s="57">
        <f t="shared" si="13"/>
        <v>0</v>
      </c>
      <c r="P26" s="57">
        <f t="shared" si="13"/>
        <v>0</v>
      </c>
    </row>
    <row r="27" ht="17.25" customHeight="1">
      <c r="A27" s="1"/>
      <c r="B27" s="67">
        <v>13.0</v>
      </c>
      <c r="C27" s="54" t="s">
        <v>35</v>
      </c>
      <c r="D27" s="74"/>
      <c r="E27" s="107">
        <v>585.0</v>
      </c>
      <c r="F27" s="81">
        <v>589.0</v>
      </c>
      <c r="G27" s="81">
        <v>1174.0</v>
      </c>
      <c r="H27" s="70"/>
      <c r="I27" s="57"/>
      <c r="J27" s="81">
        <v>0.0</v>
      </c>
      <c r="K27" s="107">
        <v>0.0</v>
      </c>
      <c r="L27" s="197">
        <v>0.0</v>
      </c>
      <c r="M27" s="57">
        <f t="shared" si="2"/>
        <v>0</v>
      </c>
      <c r="N27" s="57">
        <f t="shared" ref="N27:P27" si="14">SUM(E27,H27,K27)</f>
        <v>585</v>
      </c>
      <c r="O27" s="57">
        <f t="shared" si="14"/>
        <v>589</v>
      </c>
      <c r="P27" s="57">
        <f t="shared" si="14"/>
        <v>1174</v>
      </c>
    </row>
    <row r="28" ht="17.25" customHeight="1">
      <c r="A28" s="1"/>
      <c r="B28" s="67">
        <v>14.0</v>
      </c>
      <c r="C28" s="54" t="s">
        <v>36</v>
      </c>
      <c r="D28" s="55" t="s">
        <v>23</v>
      </c>
      <c r="E28" s="27"/>
      <c r="F28" s="56"/>
      <c r="G28" s="81">
        <v>0.0</v>
      </c>
      <c r="H28" s="70"/>
      <c r="I28" s="57"/>
      <c r="J28" s="81">
        <v>0.0</v>
      </c>
      <c r="K28" s="107">
        <v>0.0</v>
      </c>
      <c r="L28" s="197">
        <v>0.0</v>
      </c>
      <c r="M28" s="57">
        <f t="shared" si="2"/>
        <v>0</v>
      </c>
      <c r="N28" s="57">
        <f t="shared" ref="N28:P28" si="15">SUM(E28,H28,K28)</f>
        <v>0</v>
      </c>
      <c r="O28" s="57">
        <f t="shared" si="15"/>
        <v>0</v>
      </c>
      <c r="P28" s="57">
        <f t="shared" si="15"/>
        <v>0</v>
      </c>
    </row>
    <row r="29" ht="17.25" customHeight="1">
      <c r="A29" s="1"/>
      <c r="B29" s="176">
        <v>15.0</v>
      </c>
      <c r="C29" s="133" t="s">
        <v>85</v>
      </c>
      <c r="D29" s="75"/>
      <c r="E29" s="107">
        <v>17.0</v>
      </c>
      <c r="F29" s="81">
        <v>30.0</v>
      </c>
      <c r="G29" s="81">
        <v>47.0</v>
      </c>
      <c r="H29" s="70"/>
      <c r="I29" s="57"/>
      <c r="J29" s="81">
        <v>0.0</v>
      </c>
      <c r="K29" s="107">
        <v>0.0</v>
      </c>
      <c r="L29" s="197">
        <v>0.0</v>
      </c>
      <c r="M29" s="57">
        <f t="shared" si="2"/>
        <v>0</v>
      </c>
      <c r="N29" s="57">
        <f t="shared" ref="N29:P29" si="16">SUM(E29,H29,K29)</f>
        <v>17</v>
      </c>
      <c r="O29" s="57">
        <f t="shared" si="16"/>
        <v>30</v>
      </c>
      <c r="P29" s="57">
        <f t="shared" si="16"/>
        <v>47</v>
      </c>
    </row>
    <row r="30" ht="17.25" customHeight="1">
      <c r="A30" s="1"/>
      <c r="B30" s="83"/>
      <c r="C30" s="84" t="s">
        <v>37</v>
      </c>
      <c r="D30" s="85"/>
      <c r="E30" s="86"/>
      <c r="F30" s="87"/>
      <c r="G30" s="88"/>
      <c r="H30" s="86"/>
      <c r="I30" s="87"/>
      <c r="J30" s="88"/>
      <c r="K30" s="86"/>
      <c r="L30" s="89"/>
      <c r="M30" s="87"/>
      <c r="N30" s="87"/>
      <c r="O30" s="87"/>
      <c r="P30" s="87"/>
    </row>
    <row r="31" ht="17.25" customHeight="1">
      <c r="A31" s="1"/>
      <c r="B31" s="67">
        <v>1.0</v>
      </c>
      <c r="C31" s="90" t="s">
        <v>38</v>
      </c>
      <c r="D31" s="75"/>
      <c r="E31" s="70"/>
      <c r="F31" s="57"/>
      <c r="G31" s="81">
        <v>0.0</v>
      </c>
      <c r="H31" s="80"/>
      <c r="I31" s="57"/>
      <c r="J31" s="81">
        <v>0.0</v>
      </c>
      <c r="K31" s="107">
        <v>0.0</v>
      </c>
      <c r="L31" s="197">
        <v>0.0</v>
      </c>
      <c r="M31" s="57">
        <f t="shared" ref="M31:M37" si="18">SUM(K31:L31)</f>
        <v>0</v>
      </c>
      <c r="N31" s="57">
        <f t="shared" ref="N31:P31" si="17">SUM(E31,H31,K31)</f>
        <v>0</v>
      </c>
      <c r="O31" s="57">
        <f t="shared" si="17"/>
        <v>0</v>
      </c>
      <c r="P31" s="57">
        <f t="shared" si="17"/>
        <v>0</v>
      </c>
    </row>
    <row r="32" ht="17.25" customHeight="1">
      <c r="A32" s="1"/>
      <c r="B32" s="67">
        <v>2.0</v>
      </c>
      <c r="C32" s="92" t="s">
        <v>39</v>
      </c>
      <c r="D32" s="93"/>
      <c r="E32" s="94"/>
      <c r="F32" s="95"/>
      <c r="G32" s="96">
        <v>4789.0</v>
      </c>
      <c r="H32" s="97"/>
      <c r="I32" s="98"/>
      <c r="J32" s="205">
        <v>0.0</v>
      </c>
      <c r="K32" s="202">
        <v>0.0</v>
      </c>
      <c r="L32" s="204">
        <v>0.0</v>
      </c>
      <c r="M32" s="98">
        <f t="shared" si="18"/>
        <v>0</v>
      </c>
      <c r="N32" s="95">
        <f t="shared" ref="N32:P32" si="19">SUM(E32,H32,K32)</f>
        <v>0</v>
      </c>
      <c r="O32" s="95">
        <f t="shared" si="19"/>
        <v>0</v>
      </c>
      <c r="P32" s="95">
        <f t="shared" si="19"/>
        <v>4789</v>
      </c>
    </row>
    <row r="33" ht="17.25" customHeight="1">
      <c r="A33" s="1"/>
      <c r="B33" s="67">
        <v>3.0</v>
      </c>
      <c r="C33" s="101" t="s">
        <v>40</v>
      </c>
      <c r="D33" s="75"/>
      <c r="E33" s="102"/>
      <c r="F33" s="103"/>
      <c r="G33" s="104">
        <v>2893.0</v>
      </c>
      <c r="H33" s="80"/>
      <c r="I33" s="57"/>
      <c r="J33" s="81">
        <v>0.0</v>
      </c>
      <c r="K33" s="107">
        <v>0.0</v>
      </c>
      <c r="L33" s="197">
        <v>0.0</v>
      </c>
      <c r="M33" s="57">
        <f t="shared" si="18"/>
        <v>0</v>
      </c>
      <c r="N33" s="103">
        <f t="shared" ref="N33:P33" si="20">SUM(E33,H33,K33)</f>
        <v>0</v>
      </c>
      <c r="O33" s="103">
        <f t="shared" si="20"/>
        <v>0</v>
      </c>
      <c r="P33" s="103">
        <f t="shared" si="20"/>
        <v>2893</v>
      </c>
    </row>
    <row r="34" ht="17.25" customHeight="1">
      <c r="A34" s="1"/>
      <c r="B34" s="67">
        <v>4.0</v>
      </c>
      <c r="C34" s="106" t="s">
        <v>41</v>
      </c>
      <c r="D34" s="75"/>
      <c r="E34" s="102"/>
      <c r="F34" s="103"/>
      <c r="G34" s="104">
        <v>11678.0</v>
      </c>
      <c r="H34" s="80"/>
      <c r="I34" s="57"/>
      <c r="J34" s="81">
        <v>0.0</v>
      </c>
      <c r="K34" s="107">
        <v>0.0</v>
      </c>
      <c r="L34" s="197">
        <v>0.0</v>
      </c>
      <c r="M34" s="57">
        <f t="shared" si="18"/>
        <v>0</v>
      </c>
      <c r="N34" s="103">
        <f t="shared" ref="N34:P34" si="21">SUM(E34,H34,K34)</f>
        <v>0</v>
      </c>
      <c r="O34" s="103">
        <f t="shared" si="21"/>
        <v>0</v>
      </c>
      <c r="P34" s="103">
        <f t="shared" si="21"/>
        <v>11678</v>
      </c>
    </row>
    <row r="35" ht="17.25" customHeight="1">
      <c r="A35" s="1"/>
      <c r="B35" s="67">
        <v>5.0</v>
      </c>
      <c r="C35" s="106" t="s">
        <v>42</v>
      </c>
      <c r="D35" s="75"/>
      <c r="E35" s="70"/>
      <c r="F35" s="57"/>
      <c r="G35" s="81">
        <v>0.0</v>
      </c>
      <c r="H35" s="80"/>
      <c r="I35" s="57"/>
      <c r="J35" s="81">
        <v>0.0</v>
      </c>
      <c r="K35" s="107">
        <v>0.0</v>
      </c>
      <c r="L35" s="197">
        <v>0.0</v>
      </c>
      <c r="M35" s="57">
        <f t="shared" si="18"/>
        <v>0</v>
      </c>
      <c r="N35" s="57">
        <f t="shared" ref="N35:P35" si="22">SUM(E35,H35,K35)</f>
        <v>0</v>
      </c>
      <c r="O35" s="57">
        <f t="shared" si="22"/>
        <v>0</v>
      </c>
      <c r="P35" s="57">
        <f t="shared" si="22"/>
        <v>0</v>
      </c>
    </row>
    <row r="36" ht="17.25" customHeight="1">
      <c r="A36" s="1"/>
      <c r="B36" s="67">
        <v>6.0</v>
      </c>
      <c r="C36" s="106" t="s">
        <v>43</v>
      </c>
      <c r="D36" s="75"/>
      <c r="E36" s="70"/>
      <c r="F36" s="57"/>
      <c r="G36" s="81">
        <v>0.0</v>
      </c>
      <c r="H36" s="70"/>
      <c r="I36" s="57"/>
      <c r="J36" s="81">
        <v>0.0</v>
      </c>
      <c r="K36" s="107">
        <v>0.0</v>
      </c>
      <c r="L36" s="197">
        <v>0.0</v>
      </c>
      <c r="M36" s="57">
        <f t="shared" si="18"/>
        <v>0</v>
      </c>
      <c r="N36" s="57">
        <f t="shared" ref="N36:P36" si="23">SUM(E36,H36,K36)</f>
        <v>0</v>
      </c>
      <c r="O36" s="57">
        <f t="shared" si="23"/>
        <v>0</v>
      </c>
      <c r="P36" s="57">
        <f t="shared" si="23"/>
        <v>0</v>
      </c>
    </row>
    <row r="37" ht="17.25" customHeight="1">
      <c r="A37" s="1"/>
      <c r="B37" s="67"/>
      <c r="C37" s="106" t="s">
        <v>44</v>
      </c>
      <c r="D37" s="75"/>
      <c r="E37" s="70"/>
      <c r="F37" s="57"/>
      <c r="G37" s="109">
        <f>SUM(E37:F37)</f>
        <v>0</v>
      </c>
      <c r="H37" s="70"/>
      <c r="I37" s="57"/>
      <c r="J37" s="110">
        <f>SUM(H37:I37)</f>
        <v>0</v>
      </c>
      <c r="K37" s="70"/>
      <c r="L37" s="53"/>
      <c r="M37" s="59">
        <f t="shared" si="18"/>
        <v>0</v>
      </c>
      <c r="N37" s="111">
        <f t="shared" ref="N37:P37" si="24">SUM(E37,H37,K37)</f>
        <v>0</v>
      </c>
      <c r="O37" s="59">
        <f t="shared" si="24"/>
        <v>0</v>
      </c>
      <c r="P37" s="57">
        <f t="shared" si="24"/>
        <v>0</v>
      </c>
    </row>
    <row r="38" ht="24.0" customHeight="1">
      <c r="A38" s="1"/>
      <c r="B38" s="112" t="s">
        <v>45</v>
      </c>
      <c r="C38" s="113"/>
      <c r="D38" s="114"/>
      <c r="E38" s="115">
        <f t="shared" ref="E38:P38" si="25">SUM(E15:E37)</f>
        <v>816</v>
      </c>
      <c r="F38" s="116">
        <f t="shared" si="25"/>
        <v>808</v>
      </c>
      <c r="G38" s="115">
        <f t="shared" si="25"/>
        <v>21821</v>
      </c>
      <c r="H38" s="115">
        <f t="shared" si="25"/>
        <v>0</v>
      </c>
      <c r="I38" s="115">
        <f t="shared" si="25"/>
        <v>0</v>
      </c>
      <c r="J38" s="115">
        <f t="shared" si="25"/>
        <v>0</v>
      </c>
      <c r="K38" s="115">
        <f t="shared" si="25"/>
        <v>0</v>
      </c>
      <c r="L38" s="115">
        <f t="shared" si="25"/>
        <v>0</v>
      </c>
      <c r="M38" s="115">
        <f t="shared" si="25"/>
        <v>0</v>
      </c>
      <c r="N38" s="115">
        <f t="shared" si="25"/>
        <v>816</v>
      </c>
      <c r="O38" s="115">
        <f t="shared" si="25"/>
        <v>808</v>
      </c>
      <c r="P38" s="115">
        <f t="shared" si="25"/>
        <v>21821</v>
      </c>
    </row>
    <row r="39" ht="15.75" customHeight="1">
      <c r="A39" s="1"/>
      <c r="B39" s="117" t="s">
        <v>46</v>
      </c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</row>
    <row r="40" ht="21.0" customHeight="1">
      <c r="A40" s="1"/>
      <c r="B40" s="118" t="s">
        <v>47</v>
      </c>
      <c r="C40" s="27"/>
      <c r="D40" s="27"/>
      <c r="E40" s="27"/>
      <c r="F40" s="27"/>
      <c r="G40" s="27"/>
      <c r="H40" s="27"/>
      <c r="I40" s="27"/>
      <c r="J40" s="56"/>
      <c r="K40" s="119"/>
      <c r="L40" s="119"/>
      <c r="M40" s="119"/>
      <c r="N40" s="119"/>
      <c r="O40" s="119"/>
      <c r="P40" s="119"/>
    </row>
    <row r="41" ht="21.0" customHeight="1">
      <c r="A41" s="1"/>
      <c r="B41" s="120" t="s">
        <v>9</v>
      </c>
      <c r="C41" s="56"/>
      <c r="D41" s="121">
        <v>45931.0</v>
      </c>
      <c r="E41" s="27"/>
      <c r="F41" s="27"/>
      <c r="G41" s="27"/>
      <c r="H41" s="27"/>
      <c r="I41" s="27"/>
      <c r="J41" s="56"/>
      <c r="K41" s="1"/>
      <c r="L41" s="1"/>
      <c r="M41" s="1"/>
      <c r="N41" s="1"/>
      <c r="O41" s="1"/>
      <c r="P41" s="1"/>
    </row>
    <row r="42" ht="21.0" customHeight="1">
      <c r="A42" s="1"/>
      <c r="B42" s="122"/>
      <c r="C42" s="123" t="s">
        <v>12</v>
      </c>
      <c r="D42" s="124" t="s">
        <v>17</v>
      </c>
      <c r="E42" s="125" t="s">
        <v>96</v>
      </c>
      <c r="F42" s="125" t="s">
        <v>97</v>
      </c>
      <c r="G42" s="125" t="s">
        <v>98</v>
      </c>
      <c r="H42" s="126" t="s">
        <v>51</v>
      </c>
      <c r="I42" s="126" t="s">
        <v>52</v>
      </c>
      <c r="J42" s="126" t="s">
        <v>53</v>
      </c>
      <c r="K42" s="1"/>
      <c r="L42" s="1"/>
      <c r="M42" s="1"/>
      <c r="N42" s="1"/>
      <c r="O42" s="1"/>
      <c r="P42" s="1"/>
    </row>
    <row r="43" ht="26.25" customHeight="1">
      <c r="A43" s="1"/>
      <c r="B43" s="34"/>
      <c r="C43" s="34"/>
      <c r="D43" s="34"/>
      <c r="E43" s="34"/>
      <c r="F43" s="34"/>
      <c r="G43" s="34"/>
      <c r="H43" s="34"/>
      <c r="I43" s="34"/>
      <c r="J43" s="34"/>
      <c r="K43" s="1"/>
      <c r="L43" s="1"/>
      <c r="M43" s="1"/>
      <c r="N43" s="1"/>
      <c r="O43" s="1"/>
      <c r="P43" s="1"/>
    </row>
    <row r="44" ht="47.25" customHeight="1">
      <c r="A44" s="1"/>
      <c r="B44" s="46"/>
      <c r="C44" s="46"/>
      <c r="D44" s="46"/>
      <c r="E44" s="46"/>
      <c r="F44" s="46"/>
      <c r="G44" s="46"/>
      <c r="H44" s="46"/>
      <c r="I44" s="46"/>
      <c r="J44" s="46"/>
      <c r="K44" s="1"/>
      <c r="L44" s="1"/>
      <c r="M44" s="1"/>
      <c r="N44" s="1"/>
      <c r="O44" s="1"/>
      <c r="P44" s="1"/>
    </row>
    <row r="45" ht="21.0" customHeight="1">
      <c r="A45" s="1"/>
      <c r="B45" s="53">
        <v>1.0</v>
      </c>
      <c r="C45" s="127" t="s">
        <v>54</v>
      </c>
      <c r="D45" s="57"/>
      <c r="F45" s="81">
        <v>978.0</v>
      </c>
      <c r="G45" s="81">
        <v>489.0</v>
      </c>
      <c r="H45" s="57"/>
      <c r="I45" s="57"/>
      <c r="J45" s="57"/>
      <c r="K45" s="1"/>
      <c r="L45" s="1"/>
      <c r="M45" s="1"/>
      <c r="N45" s="1"/>
      <c r="O45" s="1"/>
      <c r="P45" s="1"/>
    </row>
    <row r="46" ht="27.0" customHeight="1">
      <c r="A46" s="128"/>
      <c r="B46" s="129">
        <v>2.0</v>
      </c>
      <c r="C46" s="73" t="s">
        <v>27</v>
      </c>
      <c r="D46" s="130"/>
      <c r="E46" s="149">
        <v>40.0</v>
      </c>
      <c r="F46" s="149">
        <v>40.0</v>
      </c>
      <c r="G46" s="149">
        <v>15.0</v>
      </c>
      <c r="H46" s="131"/>
      <c r="I46" s="131"/>
      <c r="J46" s="131"/>
      <c r="K46" s="132"/>
      <c r="L46" s="132"/>
      <c r="M46" s="132"/>
      <c r="N46" s="132"/>
      <c r="O46" s="132"/>
      <c r="P46" s="132"/>
    </row>
    <row r="47" ht="21.0" customHeight="1">
      <c r="A47" s="1"/>
      <c r="B47" s="53">
        <v>3.0</v>
      </c>
      <c r="C47" s="133" t="s">
        <v>55</v>
      </c>
      <c r="D47" s="57"/>
      <c r="E47" s="55" t="s">
        <v>23</v>
      </c>
      <c r="F47" s="27"/>
      <c r="G47" s="56"/>
      <c r="H47" s="57"/>
      <c r="I47" s="57"/>
      <c r="J47" s="57"/>
      <c r="K47" s="1"/>
      <c r="L47" s="1"/>
      <c r="M47" s="1"/>
      <c r="N47" s="1"/>
      <c r="O47" s="1"/>
      <c r="P47" s="1"/>
    </row>
    <row r="48" ht="21.0" customHeight="1">
      <c r="A48" s="1"/>
      <c r="B48" s="53">
        <v>4.0</v>
      </c>
      <c r="C48" s="133" t="s">
        <v>56</v>
      </c>
      <c r="D48" s="57"/>
      <c r="E48" s="81">
        <v>377.0</v>
      </c>
      <c r="F48" s="81">
        <v>621.0</v>
      </c>
      <c r="G48" s="81">
        <v>360.0</v>
      </c>
      <c r="H48" s="57"/>
      <c r="I48" s="57"/>
      <c r="J48" s="57"/>
      <c r="K48" s="1"/>
      <c r="L48" s="1"/>
      <c r="M48" s="1"/>
      <c r="N48" s="1"/>
      <c r="O48" s="1"/>
      <c r="P48" s="1"/>
    </row>
    <row r="49" ht="21.0" customHeight="1">
      <c r="A49" s="1"/>
      <c r="B49" s="53">
        <v>5.0</v>
      </c>
      <c r="C49" s="127" t="s">
        <v>57</v>
      </c>
      <c r="D49" s="135"/>
      <c r="E49" s="206" t="s">
        <v>95</v>
      </c>
      <c r="F49" s="27"/>
      <c r="G49" s="56"/>
      <c r="H49" s="53"/>
      <c r="I49" s="53"/>
      <c r="J49" s="53"/>
      <c r="K49" s="1"/>
      <c r="L49" s="1"/>
      <c r="M49" s="1"/>
      <c r="N49" s="1"/>
      <c r="O49" s="1"/>
      <c r="P49" s="1"/>
    </row>
    <row r="50" ht="21.0" customHeight="1">
      <c r="A50" s="1"/>
      <c r="B50" s="53">
        <v>6.0</v>
      </c>
      <c r="C50" s="133" t="s">
        <v>58</v>
      </c>
      <c r="D50" s="57"/>
      <c r="E50" s="55" t="s">
        <v>23</v>
      </c>
      <c r="F50" s="27"/>
      <c r="G50" s="56"/>
      <c r="H50" s="57"/>
      <c r="I50" s="57"/>
      <c r="J50" s="57"/>
      <c r="K50" s="1"/>
      <c r="L50" s="1"/>
      <c r="M50" s="1"/>
      <c r="N50" s="1"/>
      <c r="O50" s="1"/>
      <c r="P50" s="1"/>
    </row>
    <row r="51" ht="21.0" customHeight="1">
      <c r="A51" s="1"/>
      <c r="B51" s="53">
        <v>7.0</v>
      </c>
      <c r="C51" s="137" t="s">
        <v>59</v>
      </c>
      <c r="D51" s="57"/>
      <c r="E51" s="55" t="s">
        <v>23</v>
      </c>
      <c r="F51" s="27"/>
      <c r="G51" s="56"/>
      <c r="H51" s="57"/>
      <c r="I51" s="57"/>
      <c r="J51" s="57"/>
      <c r="K51" s="1"/>
      <c r="L51" s="1"/>
      <c r="M51" s="1"/>
      <c r="N51" s="1"/>
      <c r="O51" s="1"/>
      <c r="P51" s="1"/>
    </row>
    <row r="52" ht="21.0" customHeight="1">
      <c r="A52" s="1"/>
      <c r="B52" s="53">
        <v>8.0</v>
      </c>
      <c r="C52" s="133" t="s">
        <v>60</v>
      </c>
      <c r="D52" s="57"/>
      <c r="E52" s="81">
        <v>26.0</v>
      </c>
      <c r="F52" s="81">
        <v>26.0</v>
      </c>
      <c r="G52" s="81">
        <v>13.0</v>
      </c>
      <c r="H52" s="57"/>
      <c r="I52" s="57"/>
      <c r="J52" s="57"/>
      <c r="K52" s="1"/>
      <c r="L52" s="1"/>
      <c r="M52" s="1"/>
      <c r="N52" s="1"/>
      <c r="O52" s="1"/>
      <c r="P52" s="1"/>
    </row>
    <row r="53" ht="21.0" customHeight="1">
      <c r="A53" s="1"/>
      <c r="B53" s="53">
        <v>9.0</v>
      </c>
      <c r="C53" s="133" t="s">
        <v>61</v>
      </c>
      <c r="D53" s="57"/>
      <c r="E53" s="81">
        <v>211.0</v>
      </c>
      <c r="F53" s="81">
        <v>225.0</v>
      </c>
      <c r="G53" s="81">
        <v>121.0</v>
      </c>
      <c r="H53" s="57"/>
      <c r="I53" s="57"/>
      <c r="J53" s="57"/>
      <c r="K53" s="1"/>
      <c r="L53" s="1"/>
      <c r="M53" s="1"/>
      <c r="N53" s="1"/>
      <c r="O53" s="1"/>
      <c r="P53" s="1"/>
    </row>
    <row r="54" ht="21.0" customHeight="1">
      <c r="A54" s="1"/>
      <c r="B54" s="196">
        <v>10.0</v>
      </c>
      <c r="C54" s="133" t="s">
        <v>85</v>
      </c>
      <c r="D54" s="57"/>
      <c r="E54" s="81">
        <v>0.0</v>
      </c>
      <c r="F54" s="81">
        <v>0.0</v>
      </c>
      <c r="G54" s="81">
        <v>0.0</v>
      </c>
      <c r="H54" s="57"/>
      <c r="I54" s="57"/>
      <c r="J54" s="57"/>
      <c r="K54" s="1"/>
      <c r="L54" s="1"/>
      <c r="M54" s="1"/>
      <c r="N54" s="1"/>
      <c r="O54" s="1"/>
      <c r="P54" s="1"/>
    </row>
    <row r="55" ht="21.0" customHeight="1">
      <c r="A55" s="1"/>
      <c r="B55" s="138" t="s">
        <v>45</v>
      </c>
      <c r="C55" s="56"/>
      <c r="D55" s="139"/>
      <c r="E55" s="140">
        <f t="shared" ref="E55:G55" si="26">SUM(E45:E54)</f>
        <v>654</v>
      </c>
      <c r="F55" s="140">
        <f t="shared" si="26"/>
        <v>1890</v>
      </c>
      <c r="G55" s="140">
        <f t="shared" si="26"/>
        <v>998</v>
      </c>
      <c r="H55" s="140"/>
      <c r="I55" s="140"/>
      <c r="J55" s="140"/>
      <c r="K55" s="1"/>
      <c r="L55" s="1"/>
      <c r="M55" s="1"/>
      <c r="N55" s="1"/>
      <c r="O55" s="1"/>
      <c r="P55" s="1"/>
    </row>
    <row r="56" ht="21.0" customHeight="1">
      <c r="A56" s="1"/>
      <c r="B56" s="117" t="s">
        <v>62</v>
      </c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</row>
    <row r="57" ht="15.0" customHeight="1">
      <c r="A57" s="1"/>
      <c r="B57" s="117" t="s">
        <v>63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</row>
    <row r="58" ht="13.5" customHeight="1">
      <c r="A58" s="1"/>
      <c r="B58" s="117" t="s">
        <v>64</v>
      </c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</row>
  </sheetData>
  <mergeCells count="40">
    <mergeCell ref="N11:P13"/>
    <mergeCell ref="K12:M13"/>
    <mergeCell ref="E13:G13"/>
    <mergeCell ref="H13:J13"/>
    <mergeCell ref="H4:I4"/>
    <mergeCell ref="B10:P10"/>
    <mergeCell ref="B11:C11"/>
    <mergeCell ref="E11:M11"/>
    <mergeCell ref="B12:B14"/>
    <mergeCell ref="C12:C14"/>
    <mergeCell ref="E12:J12"/>
    <mergeCell ref="D15:F15"/>
    <mergeCell ref="D16:F16"/>
    <mergeCell ref="D17:F17"/>
    <mergeCell ref="D20:F20"/>
    <mergeCell ref="D21:F21"/>
    <mergeCell ref="D22:F22"/>
    <mergeCell ref="D23:F23"/>
    <mergeCell ref="D24:F24"/>
    <mergeCell ref="D25:F25"/>
    <mergeCell ref="D26:F26"/>
    <mergeCell ref="D28:F28"/>
    <mergeCell ref="B38:C38"/>
    <mergeCell ref="B40:J40"/>
    <mergeCell ref="D41:J41"/>
    <mergeCell ref="H42:H44"/>
    <mergeCell ref="I42:I44"/>
    <mergeCell ref="J42:J44"/>
    <mergeCell ref="E47:G47"/>
    <mergeCell ref="E49:G49"/>
    <mergeCell ref="E50:G50"/>
    <mergeCell ref="E51:G51"/>
    <mergeCell ref="B55:C55"/>
    <mergeCell ref="B41:C41"/>
    <mergeCell ref="B42:B44"/>
    <mergeCell ref="C42:C44"/>
    <mergeCell ref="D42:D44"/>
    <mergeCell ref="E42:E44"/>
    <mergeCell ref="F42:F44"/>
    <mergeCell ref="G42:G44"/>
  </mergeCells>
  <printOptions horizontalCentered="1"/>
  <pageMargins bottom="0.2018111254851229" footer="0.0" header="0.0" left="0.5213454075032341" right="0.5213454075032341" top="0.0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 fitToPage="1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5.63"/>
    <col customWidth="1" min="3" max="3" width="32.38"/>
    <col customWidth="1" min="4" max="4" width="9.13"/>
    <col customWidth="1" min="5" max="14" width="7.63"/>
    <col customWidth="1" min="15" max="15" width="10.38"/>
    <col customWidth="1" min="16" max="16" width="10.75"/>
  </cols>
  <sheetData>
    <row r="1" ht="13.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 t="s">
        <v>1</v>
      </c>
    </row>
    <row r="2" ht="14.25" customHeight="1">
      <c r="A2" s="1"/>
      <c r="B2" s="3" t="s">
        <v>2</v>
      </c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8.25" customHeight="1">
      <c r="A3" s="1"/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5.75" customHeight="1">
      <c r="A4" s="1"/>
      <c r="B4" s="1"/>
      <c r="C4" s="1"/>
      <c r="D4" s="1"/>
      <c r="E4" s="1"/>
      <c r="F4" s="4" t="s">
        <v>3</v>
      </c>
      <c r="G4" s="4"/>
      <c r="H4" s="141">
        <v>45962.0</v>
      </c>
      <c r="I4" s="6"/>
      <c r="J4" s="7"/>
      <c r="K4" s="7"/>
      <c r="L4" s="7"/>
      <c r="M4" s="7"/>
      <c r="N4" s="7"/>
      <c r="O4" s="7"/>
      <c r="P4" s="8"/>
    </row>
    <row r="5" ht="15.75" customHeight="1">
      <c r="A5" s="1"/>
      <c r="B5" s="1"/>
      <c r="C5" s="1"/>
      <c r="D5" s="1"/>
      <c r="E5" s="1"/>
      <c r="F5" s="4" t="s">
        <v>4</v>
      </c>
      <c r="G5" s="4"/>
      <c r="H5" s="9" t="s">
        <v>5</v>
      </c>
      <c r="I5" s="9"/>
      <c r="J5" s="9"/>
      <c r="K5" s="9"/>
      <c r="L5" s="9"/>
      <c r="M5" s="9"/>
      <c r="N5" s="9"/>
      <c r="O5" s="9"/>
      <c r="P5" s="8"/>
    </row>
    <row r="6" ht="15.75" customHeight="1">
      <c r="A6" s="1"/>
      <c r="B6" s="1"/>
      <c r="C6" s="1"/>
      <c r="D6" s="1"/>
      <c r="E6" s="1"/>
      <c r="F6" s="4" t="s">
        <v>6</v>
      </c>
      <c r="G6" s="4"/>
      <c r="H6" s="7"/>
      <c r="I6" s="7"/>
      <c r="J6" s="7"/>
      <c r="K6" s="7"/>
      <c r="L6" s="7"/>
      <c r="M6" s="7"/>
      <c r="N6" s="7"/>
      <c r="O6" s="7"/>
      <c r="P6" s="8"/>
    </row>
    <row r="7" ht="15.75" customHeight="1">
      <c r="A7" s="1"/>
      <c r="B7" s="1"/>
      <c r="C7" s="1"/>
      <c r="D7" s="10"/>
      <c r="E7" s="10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ht="15.75" customHeight="1">
      <c r="A8" s="1"/>
      <c r="B8" s="1"/>
      <c r="C8" s="1"/>
      <c r="D8" s="4"/>
      <c r="E8" s="4" t="s">
        <v>7</v>
      </c>
      <c r="F8" s="11"/>
      <c r="G8" s="8"/>
      <c r="H8" s="10"/>
      <c r="I8" s="10"/>
      <c r="J8" s="10"/>
      <c r="K8" s="10"/>
      <c r="L8" s="10"/>
      <c r="M8" s="10"/>
      <c r="N8" s="10"/>
      <c r="O8" s="10"/>
      <c r="P8" s="1"/>
    </row>
    <row r="9" ht="17.25" customHeight="1">
      <c r="A9" s="1"/>
      <c r="B9" s="1"/>
      <c r="C9" s="1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ht="17.25" customHeight="1">
      <c r="A10" s="1"/>
      <c r="B10" s="12" t="s">
        <v>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ht="16.5" customHeight="1">
      <c r="A11" s="1"/>
      <c r="B11" s="14" t="s">
        <v>9</v>
      </c>
      <c r="C11" s="15"/>
      <c r="D11" s="16"/>
      <c r="E11" s="17" t="s">
        <v>10</v>
      </c>
      <c r="F11" s="18"/>
      <c r="G11" s="18"/>
      <c r="H11" s="18"/>
      <c r="I11" s="18"/>
      <c r="J11" s="18"/>
      <c r="K11" s="18"/>
      <c r="L11" s="18"/>
      <c r="M11" s="19"/>
      <c r="N11" s="20" t="s">
        <v>11</v>
      </c>
      <c r="O11" s="21"/>
      <c r="P11" s="22"/>
    </row>
    <row r="12" ht="15.0" customHeight="1">
      <c r="A12" s="1"/>
      <c r="B12" s="23"/>
      <c r="C12" s="24" t="s">
        <v>12</v>
      </c>
      <c r="D12" s="25"/>
      <c r="E12" s="26" t="s">
        <v>13</v>
      </c>
      <c r="F12" s="27"/>
      <c r="G12" s="27"/>
      <c r="H12" s="27"/>
      <c r="I12" s="27"/>
      <c r="J12" s="27"/>
      <c r="K12" s="28" t="s">
        <v>14</v>
      </c>
      <c r="L12" s="29"/>
      <c r="M12" s="30"/>
      <c r="N12" s="31"/>
      <c r="P12" s="32"/>
    </row>
    <row r="13" ht="28.5" customHeight="1">
      <c r="A13" s="1"/>
      <c r="B13" s="33"/>
      <c r="C13" s="34"/>
      <c r="D13" s="35"/>
      <c r="E13" s="36" t="s">
        <v>15</v>
      </c>
      <c r="F13" s="37"/>
      <c r="G13" s="38"/>
      <c r="H13" s="36" t="s">
        <v>16</v>
      </c>
      <c r="I13" s="37"/>
      <c r="J13" s="38"/>
      <c r="K13" s="39"/>
      <c r="L13" s="40"/>
      <c r="M13" s="41"/>
      <c r="N13" s="42"/>
      <c r="O13" s="43"/>
      <c r="P13" s="44"/>
    </row>
    <row r="14" ht="36.75" customHeight="1">
      <c r="A14" s="1"/>
      <c r="B14" s="45"/>
      <c r="C14" s="46"/>
      <c r="D14" s="47" t="s">
        <v>17</v>
      </c>
      <c r="E14" s="48" t="s">
        <v>18</v>
      </c>
      <c r="F14" s="49" t="s">
        <v>19</v>
      </c>
      <c r="G14" s="50" t="s">
        <v>20</v>
      </c>
      <c r="H14" s="48" t="s">
        <v>18</v>
      </c>
      <c r="I14" s="51" t="s">
        <v>19</v>
      </c>
      <c r="J14" s="50" t="s">
        <v>20</v>
      </c>
      <c r="K14" s="48" t="s">
        <v>21</v>
      </c>
      <c r="L14" s="51" t="s">
        <v>19</v>
      </c>
      <c r="M14" s="52" t="s">
        <v>20</v>
      </c>
      <c r="N14" s="50" t="s">
        <v>18</v>
      </c>
      <c r="O14" s="50" t="s">
        <v>19</v>
      </c>
      <c r="P14" s="50" t="s">
        <v>20</v>
      </c>
    </row>
    <row r="15" ht="17.25" customHeight="1">
      <c r="A15" s="1"/>
      <c r="B15" s="53">
        <v>1.0</v>
      </c>
      <c r="C15" s="54" t="s">
        <v>22</v>
      </c>
      <c r="D15" s="55" t="s">
        <v>23</v>
      </c>
      <c r="E15" s="27"/>
      <c r="F15" s="56"/>
      <c r="G15" s="81">
        <v>0.0</v>
      </c>
      <c r="H15" s="57"/>
      <c r="I15" s="57"/>
      <c r="J15" s="81">
        <v>0.0</v>
      </c>
      <c r="K15" s="107">
        <v>0.0</v>
      </c>
      <c r="L15" s="197">
        <v>0.0</v>
      </c>
      <c r="M15" s="57">
        <f t="shared" ref="M15:M28" si="2">SUM(K15:L15)</f>
        <v>0</v>
      </c>
      <c r="N15" s="57">
        <f t="shared" ref="N15:P15" si="1">SUM(E15,H15,K15)</f>
        <v>0</v>
      </c>
      <c r="O15" s="57">
        <f t="shared" si="1"/>
        <v>0</v>
      </c>
      <c r="P15" s="57">
        <f t="shared" si="1"/>
        <v>0</v>
      </c>
    </row>
    <row r="16" ht="17.25" customHeight="1">
      <c r="A16" s="1"/>
      <c r="B16" s="60">
        <v>2.0</v>
      </c>
      <c r="C16" s="198" t="s">
        <v>24</v>
      </c>
      <c r="D16" s="55" t="s">
        <v>23</v>
      </c>
      <c r="E16" s="27"/>
      <c r="F16" s="56"/>
      <c r="G16" s="81">
        <v>0.0</v>
      </c>
      <c r="H16" s="64"/>
      <c r="I16" s="65"/>
      <c r="J16" s="81">
        <v>0.0</v>
      </c>
      <c r="K16" s="107">
        <v>0.0</v>
      </c>
      <c r="L16" s="197">
        <v>0.0</v>
      </c>
      <c r="M16" s="57">
        <f t="shared" si="2"/>
        <v>0</v>
      </c>
      <c r="N16" s="57">
        <f t="shared" ref="N16:P16" si="3">SUM(E16,H16,K16)</f>
        <v>0</v>
      </c>
      <c r="O16" s="57">
        <f t="shared" si="3"/>
        <v>0</v>
      </c>
      <c r="P16" s="57">
        <f t="shared" si="3"/>
        <v>0</v>
      </c>
    </row>
    <row r="17" ht="17.25" customHeight="1">
      <c r="A17" s="1"/>
      <c r="B17" s="67">
        <v>3.0</v>
      </c>
      <c r="C17" s="54" t="s">
        <v>25</v>
      </c>
      <c r="D17" s="55" t="s">
        <v>23</v>
      </c>
      <c r="E17" s="27"/>
      <c r="F17" s="56"/>
      <c r="G17" s="81">
        <v>0.0</v>
      </c>
      <c r="H17" s="70"/>
      <c r="I17" s="57"/>
      <c r="J17" s="81">
        <v>0.0</v>
      </c>
      <c r="K17" s="107">
        <v>0.0</v>
      </c>
      <c r="L17" s="197">
        <v>0.0</v>
      </c>
      <c r="M17" s="57">
        <f t="shared" si="2"/>
        <v>0</v>
      </c>
      <c r="N17" s="57">
        <f t="shared" ref="N17:P17" si="4">SUM(E17,H17,K17)</f>
        <v>0</v>
      </c>
      <c r="O17" s="57">
        <f t="shared" si="4"/>
        <v>0</v>
      </c>
      <c r="P17" s="57">
        <f t="shared" si="4"/>
        <v>0</v>
      </c>
    </row>
    <row r="18" ht="17.25" customHeight="1">
      <c r="A18" s="1"/>
      <c r="B18" s="67">
        <v>4.0</v>
      </c>
      <c r="C18" s="54" t="s">
        <v>26</v>
      </c>
      <c r="D18" s="75"/>
      <c r="E18" s="107">
        <v>164.0</v>
      </c>
      <c r="F18" s="81">
        <v>168.0</v>
      </c>
      <c r="G18" s="81">
        <v>332.0</v>
      </c>
      <c r="H18" s="70"/>
      <c r="I18" s="57"/>
      <c r="J18" s="81">
        <v>0.0</v>
      </c>
      <c r="K18" s="107">
        <v>0.0</v>
      </c>
      <c r="L18" s="197">
        <v>0.0</v>
      </c>
      <c r="M18" s="57">
        <f t="shared" si="2"/>
        <v>0</v>
      </c>
      <c r="N18" s="57">
        <f t="shared" ref="N18:P18" si="5">SUM(E18,H18,K18)</f>
        <v>164</v>
      </c>
      <c r="O18" s="57">
        <f t="shared" si="5"/>
        <v>168</v>
      </c>
      <c r="P18" s="57">
        <f t="shared" si="5"/>
        <v>332</v>
      </c>
    </row>
    <row r="19" ht="17.25" customHeight="1">
      <c r="A19" s="1"/>
      <c r="B19" s="67">
        <v>5.0</v>
      </c>
      <c r="C19" s="73" t="s">
        <v>27</v>
      </c>
      <c r="D19" s="150"/>
      <c r="E19" s="27"/>
      <c r="F19" s="56"/>
      <c r="G19" s="81">
        <v>110.0</v>
      </c>
      <c r="H19" s="70"/>
      <c r="I19" s="57"/>
      <c r="J19" s="81">
        <v>0.0</v>
      </c>
      <c r="K19" s="107">
        <v>0.0</v>
      </c>
      <c r="L19" s="197">
        <v>0.0</v>
      </c>
      <c r="M19" s="57">
        <f t="shared" si="2"/>
        <v>0</v>
      </c>
      <c r="N19" s="57">
        <f t="shared" ref="N19:P19" si="6">SUM(E19,H19,K19)</f>
        <v>0</v>
      </c>
      <c r="O19" s="57">
        <f t="shared" si="6"/>
        <v>0</v>
      </c>
      <c r="P19" s="57">
        <f t="shared" si="6"/>
        <v>110</v>
      </c>
    </row>
    <row r="20" ht="17.25" customHeight="1">
      <c r="A20" s="1"/>
      <c r="B20" s="67">
        <v>6.0</v>
      </c>
      <c r="C20" s="54" t="s">
        <v>28</v>
      </c>
      <c r="D20" s="55" t="s">
        <v>23</v>
      </c>
      <c r="E20" s="27"/>
      <c r="F20" s="56"/>
      <c r="G20" s="81">
        <v>0.0</v>
      </c>
      <c r="H20" s="70"/>
      <c r="I20" s="57"/>
      <c r="J20" s="81">
        <v>0.0</v>
      </c>
      <c r="K20" s="107">
        <v>0.0</v>
      </c>
      <c r="L20" s="197">
        <v>0.0</v>
      </c>
      <c r="M20" s="57">
        <f t="shared" si="2"/>
        <v>0</v>
      </c>
      <c r="N20" s="57">
        <f t="shared" ref="N20:P20" si="7">SUM(E20,H20,K20)</f>
        <v>0</v>
      </c>
      <c r="O20" s="57">
        <f t="shared" si="7"/>
        <v>0</v>
      </c>
      <c r="P20" s="57">
        <f t="shared" si="7"/>
        <v>0</v>
      </c>
    </row>
    <row r="21" ht="17.25" customHeight="1">
      <c r="A21" s="1"/>
      <c r="B21" s="67">
        <v>7.0</v>
      </c>
      <c r="C21" s="54" t="s">
        <v>29</v>
      </c>
      <c r="D21" s="55" t="s">
        <v>23</v>
      </c>
      <c r="E21" s="27"/>
      <c r="F21" s="56"/>
      <c r="G21" s="81">
        <v>0.0</v>
      </c>
      <c r="H21" s="70"/>
      <c r="I21" s="57"/>
      <c r="J21" s="81">
        <v>0.0</v>
      </c>
      <c r="K21" s="107">
        <v>0.0</v>
      </c>
      <c r="L21" s="197">
        <v>0.0</v>
      </c>
      <c r="M21" s="57">
        <f t="shared" si="2"/>
        <v>0</v>
      </c>
      <c r="N21" s="57">
        <f t="shared" ref="N21:P21" si="8">SUM(E21,H21,K21)</f>
        <v>0</v>
      </c>
      <c r="O21" s="57">
        <f t="shared" si="8"/>
        <v>0</v>
      </c>
      <c r="P21" s="57">
        <f t="shared" si="8"/>
        <v>0</v>
      </c>
    </row>
    <row r="22" ht="17.25" customHeight="1">
      <c r="A22" s="1"/>
      <c r="B22" s="67">
        <v>8.0</v>
      </c>
      <c r="C22" s="54" t="s">
        <v>30</v>
      </c>
      <c r="D22" s="55" t="s">
        <v>23</v>
      </c>
      <c r="E22" s="27"/>
      <c r="F22" s="56"/>
      <c r="G22" s="81">
        <v>0.0</v>
      </c>
      <c r="H22" s="70"/>
      <c r="I22" s="57"/>
      <c r="J22" s="81">
        <v>0.0</v>
      </c>
      <c r="K22" s="107">
        <v>0.0</v>
      </c>
      <c r="L22" s="197">
        <v>0.0</v>
      </c>
      <c r="M22" s="57">
        <f t="shared" si="2"/>
        <v>0</v>
      </c>
      <c r="N22" s="57">
        <f t="shared" ref="N22:P22" si="9">SUM(E22,H22,K22)</f>
        <v>0</v>
      </c>
      <c r="O22" s="57">
        <f t="shared" si="9"/>
        <v>0</v>
      </c>
      <c r="P22" s="57">
        <f t="shared" si="9"/>
        <v>0</v>
      </c>
    </row>
    <row r="23" ht="17.25" customHeight="1">
      <c r="A23" s="1"/>
      <c r="B23" s="67">
        <v>9.0</v>
      </c>
      <c r="C23" s="54" t="s">
        <v>31</v>
      </c>
      <c r="D23" s="55" t="s">
        <v>23</v>
      </c>
      <c r="E23" s="27"/>
      <c r="F23" s="56"/>
      <c r="G23" s="81">
        <v>0.0</v>
      </c>
      <c r="H23" s="70"/>
      <c r="I23" s="57"/>
      <c r="J23" s="81">
        <v>0.0</v>
      </c>
      <c r="K23" s="107">
        <v>0.0</v>
      </c>
      <c r="L23" s="197">
        <v>0.0</v>
      </c>
      <c r="M23" s="57">
        <f t="shared" si="2"/>
        <v>0</v>
      </c>
      <c r="N23" s="57">
        <f t="shared" ref="N23:P23" si="10">SUM(E23,H23,K23)</f>
        <v>0</v>
      </c>
      <c r="O23" s="57">
        <f t="shared" si="10"/>
        <v>0</v>
      </c>
      <c r="P23" s="57">
        <f t="shared" si="10"/>
        <v>0</v>
      </c>
    </row>
    <row r="24" ht="17.25" customHeight="1">
      <c r="A24" s="1"/>
      <c r="B24" s="67">
        <v>10.0</v>
      </c>
      <c r="C24" s="146" t="s">
        <v>32</v>
      </c>
      <c r="D24" s="55" t="s">
        <v>23</v>
      </c>
      <c r="E24" s="27"/>
      <c r="F24" s="56"/>
      <c r="G24" s="81">
        <v>0.0</v>
      </c>
      <c r="H24" s="70"/>
      <c r="I24" s="57"/>
      <c r="J24" s="81">
        <v>0.0</v>
      </c>
      <c r="K24" s="107">
        <v>0.0</v>
      </c>
      <c r="L24" s="197">
        <v>0.0</v>
      </c>
      <c r="M24" s="57">
        <f t="shared" si="2"/>
        <v>0</v>
      </c>
      <c r="N24" s="57">
        <f t="shared" ref="N24:P24" si="11">SUM(E24,H24,K24)</f>
        <v>0</v>
      </c>
      <c r="O24" s="57">
        <f t="shared" si="11"/>
        <v>0</v>
      </c>
      <c r="P24" s="57">
        <f t="shared" si="11"/>
        <v>0</v>
      </c>
    </row>
    <row r="25" ht="17.25" customHeight="1">
      <c r="A25" s="1"/>
      <c r="B25" s="67">
        <v>11.0</v>
      </c>
      <c r="C25" s="54" t="s">
        <v>65</v>
      </c>
      <c r="D25" s="55" t="s">
        <v>23</v>
      </c>
      <c r="E25" s="27"/>
      <c r="F25" s="56"/>
      <c r="G25" s="81">
        <v>0.0</v>
      </c>
      <c r="H25" s="70"/>
      <c r="I25" s="57"/>
      <c r="J25" s="81">
        <v>0.0</v>
      </c>
      <c r="K25" s="107">
        <v>0.0</v>
      </c>
      <c r="L25" s="197">
        <v>0.0</v>
      </c>
      <c r="M25" s="57">
        <f t="shared" si="2"/>
        <v>0</v>
      </c>
      <c r="N25" s="57">
        <f t="shared" ref="N25:P25" si="12">SUM(E25,H25,K25)</f>
        <v>0</v>
      </c>
      <c r="O25" s="57">
        <f t="shared" si="12"/>
        <v>0</v>
      </c>
      <c r="P25" s="57">
        <f t="shared" si="12"/>
        <v>0</v>
      </c>
    </row>
    <row r="26" ht="17.25" customHeight="1">
      <c r="A26" s="1"/>
      <c r="B26" s="67">
        <v>12.0</v>
      </c>
      <c r="C26" s="54" t="s">
        <v>66</v>
      </c>
      <c r="D26" s="55" t="s">
        <v>23</v>
      </c>
      <c r="E26" s="27"/>
      <c r="F26" s="56"/>
      <c r="G26" s="81">
        <v>0.0</v>
      </c>
      <c r="H26" s="70"/>
      <c r="I26" s="57"/>
      <c r="J26" s="81">
        <v>0.0</v>
      </c>
      <c r="K26" s="107">
        <v>0.0</v>
      </c>
      <c r="L26" s="197">
        <v>0.0</v>
      </c>
      <c r="M26" s="57">
        <f t="shared" si="2"/>
        <v>0</v>
      </c>
      <c r="N26" s="57">
        <f t="shared" ref="N26:P26" si="13">SUM(E26,H26,K26)</f>
        <v>0</v>
      </c>
      <c r="O26" s="57">
        <f t="shared" si="13"/>
        <v>0</v>
      </c>
      <c r="P26" s="57">
        <f t="shared" si="13"/>
        <v>0</v>
      </c>
    </row>
    <row r="27" ht="17.25" customHeight="1">
      <c r="A27" s="1"/>
      <c r="B27" s="67">
        <v>13.0</v>
      </c>
      <c r="C27" s="54" t="s">
        <v>35</v>
      </c>
      <c r="D27" s="74"/>
      <c r="E27" s="211">
        <v>403.0</v>
      </c>
      <c r="F27" s="81">
        <v>441.0</v>
      </c>
      <c r="G27" s="81">
        <v>845.0</v>
      </c>
      <c r="H27" s="70"/>
      <c r="I27" s="57"/>
      <c r="J27" s="81">
        <v>0.0</v>
      </c>
      <c r="K27" s="107">
        <v>0.0</v>
      </c>
      <c r="L27" s="197">
        <v>0.0</v>
      </c>
      <c r="M27" s="57">
        <f t="shared" si="2"/>
        <v>0</v>
      </c>
      <c r="N27" s="103">
        <f t="shared" ref="N27:P27" si="14">SUM(E27,H27,K27)</f>
        <v>403</v>
      </c>
      <c r="O27" s="57">
        <f t="shared" si="14"/>
        <v>441</v>
      </c>
      <c r="P27" s="57">
        <f t="shared" si="14"/>
        <v>845</v>
      </c>
    </row>
    <row r="28" ht="17.25" customHeight="1">
      <c r="A28" s="1"/>
      <c r="B28" s="67">
        <v>14.0</v>
      </c>
      <c r="C28" s="54" t="s">
        <v>36</v>
      </c>
      <c r="D28" s="75"/>
      <c r="E28" s="107">
        <v>51.0</v>
      </c>
      <c r="F28" s="81">
        <v>18.0</v>
      </c>
      <c r="G28" s="81">
        <v>69.0</v>
      </c>
      <c r="H28" s="70"/>
      <c r="I28" s="57"/>
      <c r="J28" s="81">
        <v>0.0</v>
      </c>
      <c r="K28" s="107">
        <v>0.0</v>
      </c>
      <c r="L28" s="197">
        <v>0.0</v>
      </c>
      <c r="M28" s="57">
        <f t="shared" si="2"/>
        <v>0</v>
      </c>
      <c r="N28" s="57">
        <f t="shared" ref="N28:P28" si="15">SUM(E28,H28,K28)</f>
        <v>51</v>
      </c>
      <c r="O28" s="57">
        <f t="shared" si="15"/>
        <v>18</v>
      </c>
      <c r="P28" s="57">
        <f t="shared" si="15"/>
        <v>69</v>
      </c>
    </row>
    <row r="29" ht="17.25" customHeight="1">
      <c r="A29" s="1"/>
      <c r="B29" s="176">
        <v>15.0</v>
      </c>
      <c r="C29" s="133" t="s">
        <v>85</v>
      </c>
      <c r="D29" s="75"/>
      <c r="E29" s="107">
        <v>20.0</v>
      </c>
      <c r="F29" s="81">
        <v>21.0</v>
      </c>
      <c r="G29" s="212">
        <v>41.0</v>
      </c>
      <c r="H29" s="70"/>
      <c r="I29" s="57"/>
      <c r="J29" s="82"/>
      <c r="K29" s="70"/>
      <c r="L29" s="53"/>
      <c r="M29" s="57"/>
      <c r="N29" s="81">
        <v>20.0</v>
      </c>
      <c r="O29" s="81">
        <v>21.0</v>
      </c>
      <c r="P29" s="57">
        <f>SUM(G29,J29,M29)</f>
        <v>41</v>
      </c>
    </row>
    <row r="30" ht="17.25" customHeight="1">
      <c r="A30" s="1"/>
      <c r="B30" s="83"/>
      <c r="C30" s="84" t="s">
        <v>37</v>
      </c>
      <c r="D30" s="85"/>
      <c r="E30" s="86"/>
      <c r="F30" s="87"/>
      <c r="G30" s="88"/>
      <c r="H30" s="86"/>
      <c r="I30" s="87"/>
      <c r="J30" s="88"/>
      <c r="K30" s="86"/>
      <c r="L30" s="89"/>
      <c r="M30" s="87"/>
      <c r="N30" s="87"/>
      <c r="O30" s="87"/>
      <c r="P30" s="87"/>
    </row>
    <row r="31" ht="17.25" customHeight="1">
      <c r="A31" s="1"/>
      <c r="B31" s="67">
        <v>1.0</v>
      </c>
      <c r="C31" s="90" t="s">
        <v>38</v>
      </c>
      <c r="D31" s="75"/>
      <c r="E31" s="70"/>
      <c r="F31" s="57"/>
      <c r="G31" s="81">
        <v>0.0</v>
      </c>
      <c r="H31" s="80"/>
      <c r="I31" s="57"/>
      <c r="J31" s="81">
        <v>0.0</v>
      </c>
      <c r="K31" s="107">
        <v>0.0</v>
      </c>
      <c r="L31" s="197">
        <v>0.0</v>
      </c>
      <c r="M31" s="57">
        <f t="shared" ref="M31:M36" si="17">SUM(K31:L31)</f>
        <v>0</v>
      </c>
      <c r="N31" s="57">
        <f t="shared" ref="N31:P31" si="16">SUM(E31,H31,K31)</f>
        <v>0</v>
      </c>
      <c r="O31" s="57">
        <f t="shared" si="16"/>
        <v>0</v>
      </c>
      <c r="P31" s="57">
        <f t="shared" si="16"/>
        <v>0</v>
      </c>
    </row>
    <row r="32" ht="17.25" customHeight="1">
      <c r="A32" s="1"/>
      <c r="B32" s="67">
        <v>2.0</v>
      </c>
      <c r="C32" s="92" t="s">
        <v>39</v>
      </c>
      <c r="D32" s="93"/>
      <c r="E32" s="94"/>
      <c r="F32" s="95"/>
      <c r="G32" s="96">
        <v>5089.0</v>
      </c>
      <c r="H32" s="97"/>
      <c r="I32" s="98"/>
      <c r="J32" s="205">
        <v>0.0</v>
      </c>
      <c r="K32" s="202">
        <v>0.0</v>
      </c>
      <c r="L32" s="204">
        <v>0.0</v>
      </c>
      <c r="M32" s="98">
        <f t="shared" si="17"/>
        <v>0</v>
      </c>
      <c r="N32" s="95">
        <f t="shared" ref="N32:P32" si="18">SUM(E32,H32,K32)</f>
        <v>0</v>
      </c>
      <c r="O32" s="95">
        <f t="shared" si="18"/>
        <v>0</v>
      </c>
      <c r="P32" s="95">
        <f t="shared" si="18"/>
        <v>5089</v>
      </c>
    </row>
    <row r="33" ht="17.25" customHeight="1">
      <c r="A33" s="1"/>
      <c r="B33" s="67">
        <v>3.0</v>
      </c>
      <c r="C33" s="101" t="s">
        <v>40</v>
      </c>
      <c r="D33" s="75"/>
      <c r="E33" s="102"/>
      <c r="F33" s="103"/>
      <c r="G33" s="104">
        <v>3540.0</v>
      </c>
      <c r="H33" s="80"/>
      <c r="I33" s="57"/>
      <c r="J33" s="81">
        <v>0.0</v>
      </c>
      <c r="K33" s="107">
        <v>0.0</v>
      </c>
      <c r="L33" s="197">
        <v>0.0</v>
      </c>
      <c r="M33" s="57">
        <f t="shared" si="17"/>
        <v>0</v>
      </c>
      <c r="N33" s="103">
        <f t="shared" ref="N33:P33" si="19">SUM(E33,H33,K33)</f>
        <v>0</v>
      </c>
      <c r="O33" s="103">
        <f t="shared" si="19"/>
        <v>0</v>
      </c>
      <c r="P33" s="103">
        <f t="shared" si="19"/>
        <v>3540</v>
      </c>
    </row>
    <row r="34" ht="17.25" customHeight="1">
      <c r="A34" s="1"/>
      <c r="B34" s="67">
        <v>4.0</v>
      </c>
      <c r="C34" s="106" t="s">
        <v>41</v>
      </c>
      <c r="D34" s="75"/>
      <c r="E34" s="102"/>
      <c r="F34" s="103"/>
      <c r="G34" s="104">
        <v>18460.0</v>
      </c>
      <c r="H34" s="80"/>
      <c r="I34" s="57"/>
      <c r="J34" s="81">
        <v>0.0</v>
      </c>
      <c r="K34" s="107">
        <v>0.0</v>
      </c>
      <c r="L34" s="197">
        <v>0.0</v>
      </c>
      <c r="M34" s="57">
        <f t="shared" si="17"/>
        <v>0</v>
      </c>
      <c r="N34" s="103">
        <f t="shared" ref="N34:P34" si="20">SUM(E34,H34,K34)</f>
        <v>0</v>
      </c>
      <c r="O34" s="103">
        <f t="shared" si="20"/>
        <v>0</v>
      </c>
      <c r="P34" s="103">
        <f t="shared" si="20"/>
        <v>18460</v>
      </c>
    </row>
    <row r="35" ht="17.25" customHeight="1">
      <c r="A35" s="1"/>
      <c r="B35" s="67">
        <v>5.0</v>
      </c>
      <c r="C35" s="106" t="s">
        <v>42</v>
      </c>
      <c r="D35" s="75"/>
      <c r="E35" s="70"/>
      <c r="F35" s="57"/>
      <c r="G35" s="81">
        <v>0.0</v>
      </c>
      <c r="H35" s="80"/>
      <c r="I35" s="57"/>
      <c r="J35" s="81">
        <v>0.0</v>
      </c>
      <c r="K35" s="107">
        <v>0.0</v>
      </c>
      <c r="L35" s="197">
        <v>0.0</v>
      </c>
      <c r="M35" s="57">
        <f t="shared" si="17"/>
        <v>0</v>
      </c>
      <c r="N35" s="57">
        <f t="shared" ref="N35:P35" si="21">SUM(E35,H35,K35)</f>
        <v>0</v>
      </c>
      <c r="O35" s="57">
        <f t="shared" si="21"/>
        <v>0</v>
      </c>
      <c r="P35" s="57">
        <f t="shared" si="21"/>
        <v>0</v>
      </c>
    </row>
    <row r="36" ht="17.25" customHeight="1">
      <c r="A36" s="1"/>
      <c r="B36" s="67">
        <v>6.0</v>
      </c>
      <c r="C36" s="106" t="s">
        <v>43</v>
      </c>
      <c r="D36" s="75"/>
      <c r="E36" s="70"/>
      <c r="F36" s="57"/>
      <c r="G36" s="81">
        <v>0.0</v>
      </c>
      <c r="H36" s="70"/>
      <c r="I36" s="57"/>
      <c r="J36" s="81">
        <v>0.0</v>
      </c>
      <c r="K36" s="107">
        <v>0.0</v>
      </c>
      <c r="L36" s="197">
        <v>0.0</v>
      </c>
      <c r="M36" s="57">
        <f t="shared" si="17"/>
        <v>0</v>
      </c>
      <c r="N36" s="57">
        <f t="shared" ref="N36:P36" si="22">SUM(E36,H36,K36)</f>
        <v>0</v>
      </c>
      <c r="O36" s="57">
        <f t="shared" si="22"/>
        <v>0</v>
      </c>
      <c r="P36" s="57">
        <f t="shared" si="22"/>
        <v>0</v>
      </c>
    </row>
    <row r="37" ht="17.25" customHeight="1">
      <c r="A37" s="1"/>
      <c r="B37" s="67"/>
      <c r="C37" s="213" t="s">
        <v>99</v>
      </c>
      <c r="D37" s="75"/>
      <c r="E37" s="70"/>
      <c r="F37" s="57"/>
      <c r="G37" s="211">
        <v>3057.0</v>
      </c>
      <c r="H37" s="70"/>
      <c r="I37" s="57"/>
      <c r="J37" s="110"/>
      <c r="K37" s="70"/>
      <c r="L37" s="53"/>
      <c r="M37" s="59"/>
      <c r="N37" s="111"/>
      <c r="O37" s="59"/>
      <c r="P37" s="103">
        <f>SUM(G37,J37,M37)</f>
        <v>3057</v>
      </c>
    </row>
    <row r="38" ht="24.0" customHeight="1">
      <c r="A38" s="1"/>
      <c r="B38" s="112" t="s">
        <v>45</v>
      </c>
      <c r="C38" s="113"/>
      <c r="D38" s="114"/>
      <c r="E38" s="115">
        <f t="shared" ref="E38:P38" si="23">SUM(E15:E37)</f>
        <v>638</v>
      </c>
      <c r="F38" s="116">
        <f t="shared" si="23"/>
        <v>648</v>
      </c>
      <c r="G38" s="115">
        <f t="shared" si="23"/>
        <v>31543</v>
      </c>
      <c r="H38" s="115">
        <f t="shared" si="23"/>
        <v>0</v>
      </c>
      <c r="I38" s="115">
        <f t="shared" si="23"/>
        <v>0</v>
      </c>
      <c r="J38" s="115">
        <f t="shared" si="23"/>
        <v>0</v>
      </c>
      <c r="K38" s="115">
        <f t="shared" si="23"/>
        <v>0</v>
      </c>
      <c r="L38" s="115">
        <f t="shared" si="23"/>
        <v>0</v>
      </c>
      <c r="M38" s="115">
        <f t="shared" si="23"/>
        <v>0</v>
      </c>
      <c r="N38" s="115">
        <f t="shared" si="23"/>
        <v>638</v>
      </c>
      <c r="O38" s="115">
        <f t="shared" si="23"/>
        <v>648</v>
      </c>
      <c r="P38" s="115">
        <f t="shared" si="23"/>
        <v>31543</v>
      </c>
    </row>
    <row r="39" ht="15.75" customHeight="1">
      <c r="A39" s="1"/>
      <c r="B39" s="117" t="s">
        <v>46</v>
      </c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</row>
    <row r="40" ht="21.0" customHeight="1">
      <c r="A40" s="1"/>
      <c r="B40" s="118" t="s">
        <v>47</v>
      </c>
      <c r="C40" s="27"/>
      <c r="D40" s="27"/>
      <c r="E40" s="27"/>
      <c r="F40" s="27"/>
      <c r="G40" s="27"/>
      <c r="H40" s="27"/>
      <c r="I40" s="27"/>
      <c r="J40" s="56"/>
      <c r="K40" s="119"/>
      <c r="L40" s="119"/>
      <c r="M40" s="119"/>
      <c r="N40" s="119"/>
      <c r="O40" s="119"/>
      <c r="P40" s="119"/>
    </row>
    <row r="41" ht="21.0" customHeight="1">
      <c r="A41" s="1"/>
      <c r="B41" s="120" t="s">
        <v>9</v>
      </c>
      <c r="C41" s="56"/>
      <c r="D41" s="121">
        <v>45962.0</v>
      </c>
      <c r="E41" s="27"/>
      <c r="F41" s="27"/>
      <c r="G41" s="27"/>
      <c r="H41" s="27"/>
      <c r="I41" s="27"/>
      <c r="J41" s="56"/>
      <c r="K41" s="1"/>
      <c r="L41" s="1"/>
      <c r="M41" s="1"/>
      <c r="N41" s="1"/>
      <c r="O41" s="1"/>
      <c r="P41" s="1"/>
    </row>
    <row r="42" ht="21.0" customHeight="1">
      <c r="A42" s="1"/>
      <c r="B42" s="122"/>
      <c r="C42" s="123" t="s">
        <v>12</v>
      </c>
      <c r="D42" s="124" t="s">
        <v>17</v>
      </c>
      <c r="E42" s="125" t="s">
        <v>100</v>
      </c>
      <c r="F42" s="125" t="s">
        <v>101</v>
      </c>
      <c r="G42" s="125" t="s">
        <v>102</v>
      </c>
      <c r="H42" s="126" t="s">
        <v>51</v>
      </c>
      <c r="I42" s="126" t="s">
        <v>52</v>
      </c>
      <c r="J42" s="126" t="s">
        <v>53</v>
      </c>
      <c r="K42" s="1"/>
      <c r="L42" s="1"/>
      <c r="M42" s="1"/>
      <c r="N42" s="1"/>
      <c r="O42" s="1"/>
      <c r="P42" s="1"/>
    </row>
    <row r="43" ht="26.25" customHeight="1">
      <c r="A43" s="1"/>
      <c r="B43" s="34"/>
      <c r="C43" s="34"/>
      <c r="D43" s="34"/>
      <c r="E43" s="34"/>
      <c r="F43" s="34"/>
      <c r="G43" s="34"/>
      <c r="H43" s="34"/>
      <c r="I43" s="34"/>
      <c r="J43" s="34"/>
      <c r="K43" s="1"/>
      <c r="L43" s="1"/>
      <c r="M43" s="1"/>
      <c r="N43" s="1"/>
      <c r="O43" s="1"/>
      <c r="P43" s="1"/>
    </row>
    <row r="44" ht="47.25" customHeight="1">
      <c r="A44" s="1"/>
      <c r="B44" s="46"/>
      <c r="C44" s="46"/>
      <c r="D44" s="46"/>
      <c r="E44" s="46"/>
      <c r="F44" s="46"/>
      <c r="G44" s="46"/>
      <c r="H44" s="46"/>
      <c r="I44" s="46"/>
      <c r="J44" s="46"/>
      <c r="K44" s="1"/>
      <c r="L44" s="1"/>
      <c r="M44" s="1"/>
      <c r="N44" s="1"/>
      <c r="O44" s="1"/>
      <c r="P44" s="1"/>
    </row>
    <row r="45" ht="21.0" customHeight="1">
      <c r="A45" s="1"/>
      <c r="B45" s="53">
        <v>1.0</v>
      </c>
      <c r="C45" s="127" t="s">
        <v>54</v>
      </c>
      <c r="D45" s="57"/>
      <c r="E45" s="199" t="s">
        <v>23</v>
      </c>
      <c r="F45" s="27"/>
      <c r="G45" s="56"/>
      <c r="H45" s="57"/>
      <c r="I45" s="57"/>
      <c r="J45" s="57"/>
      <c r="K45" s="1"/>
      <c r="L45" s="1"/>
      <c r="M45" s="1"/>
      <c r="N45" s="1"/>
      <c r="O45" s="1"/>
      <c r="P45" s="1"/>
    </row>
    <row r="46" ht="27.0" customHeight="1">
      <c r="A46" s="128"/>
      <c r="B46" s="129">
        <v>2.0</v>
      </c>
      <c r="C46" s="73" t="s">
        <v>27</v>
      </c>
      <c r="D46" s="130"/>
      <c r="E46" s="149">
        <v>43.0</v>
      </c>
      <c r="F46" s="149">
        <v>43.0</v>
      </c>
      <c r="G46" s="149">
        <v>10.0</v>
      </c>
      <c r="H46" s="131"/>
      <c r="I46" s="131"/>
      <c r="J46" s="131"/>
      <c r="K46" s="132"/>
      <c r="L46" s="132"/>
      <c r="M46" s="132"/>
      <c r="N46" s="132"/>
      <c r="O46" s="132"/>
      <c r="P46" s="132"/>
    </row>
    <row r="47" ht="21.0" customHeight="1">
      <c r="A47" s="1"/>
      <c r="B47" s="53">
        <v>3.0</v>
      </c>
      <c r="C47" s="133" t="s">
        <v>55</v>
      </c>
      <c r="D47" s="57"/>
      <c r="E47" s="199" t="s">
        <v>23</v>
      </c>
      <c r="F47" s="27"/>
      <c r="G47" s="56"/>
      <c r="H47" s="57"/>
      <c r="I47" s="57"/>
      <c r="J47" s="57"/>
      <c r="K47" s="1"/>
      <c r="L47" s="1"/>
      <c r="M47" s="1"/>
      <c r="N47" s="1"/>
      <c r="O47" s="1"/>
      <c r="P47" s="1"/>
    </row>
    <row r="48" ht="21.0" customHeight="1">
      <c r="A48" s="1"/>
      <c r="B48" s="53">
        <v>4.0</v>
      </c>
      <c r="C48" s="133" t="s">
        <v>56</v>
      </c>
      <c r="D48" s="57"/>
      <c r="E48" s="81">
        <v>49.0</v>
      </c>
      <c r="F48" s="81">
        <v>30.0</v>
      </c>
      <c r="G48" s="81">
        <v>32.0</v>
      </c>
      <c r="H48" s="57"/>
      <c r="I48" s="57"/>
      <c r="J48" s="57"/>
      <c r="K48" s="1"/>
      <c r="L48" s="1"/>
      <c r="M48" s="1"/>
      <c r="N48" s="1"/>
      <c r="O48" s="1"/>
      <c r="P48" s="1"/>
    </row>
    <row r="49" ht="21.0" customHeight="1">
      <c r="A49" s="1"/>
      <c r="B49" s="53">
        <v>5.0</v>
      </c>
      <c r="C49" s="127" t="s">
        <v>57</v>
      </c>
      <c r="D49" s="135"/>
      <c r="E49" s="206" t="s">
        <v>95</v>
      </c>
      <c r="F49" s="27"/>
      <c r="G49" s="56"/>
      <c r="H49" s="53"/>
      <c r="I49" s="53"/>
      <c r="J49" s="53"/>
      <c r="K49" s="1"/>
      <c r="L49" s="1"/>
      <c r="M49" s="1"/>
      <c r="N49" s="1"/>
      <c r="O49" s="1"/>
      <c r="P49" s="1"/>
    </row>
    <row r="50" ht="21.0" customHeight="1">
      <c r="A50" s="1"/>
      <c r="B50" s="53">
        <v>6.0</v>
      </c>
      <c r="C50" s="133" t="s">
        <v>58</v>
      </c>
      <c r="D50" s="57"/>
      <c r="E50" s="55" t="s">
        <v>23</v>
      </c>
      <c r="F50" s="27"/>
      <c r="G50" s="56"/>
      <c r="H50" s="57"/>
      <c r="I50" s="57"/>
      <c r="J50" s="57"/>
      <c r="K50" s="1"/>
      <c r="L50" s="1"/>
      <c r="M50" s="1"/>
      <c r="N50" s="1"/>
      <c r="O50" s="1"/>
      <c r="P50" s="1"/>
    </row>
    <row r="51" ht="21.0" customHeight="1">
      <c r="A51" s="1"/>
      <c r="B51" s="53">
        <v>7.0</v>
      </c>
      <c r="C51" s="137" t="s">
        <v>59</v>
      </c>
      <c r="D51" s="57"/>
      <c r="E51" s="55" t="s">
        <v>23</v>
      </c>
      <c r="F51" s="27"/>
      <c r="G51" s="56"/>
      <c r="H51" s="57"/>
      <c r="I51" s="57"/>
      <c r="J51" s="57"/>
      <c r="K51" s="1"/>
      <c r="L51" s="1"/>
      <c r="M51" s="1"/>
      <c r="N51" s="1"/>
      <c r="O51" s="1"/>
      <c r="P51" s="1"/>
    </row>
    <row r="52" ht="21.0" customHeight="1">
      <c r="A52" s="1"/>
      <c r="B52" s="53">
        <v>8.0</v>
      </c>
      <c r="C52" s="133" t="s">
        <v>60</v>
      </c>
      <c r="D52" s="57"/>
      <c r="E52" s="55" t="s">
        <v>23</v>
      </c>
      <c r="F52" s="27"/>
      <c r="G52" s="56"/>
      <c r="H52" s="57"/>
      <c r="I52" s="57"/>
      <c r="J52" s="57"/>
      <c r="K52" s="1"/>
      <c r="L52" s="1"/>
      <c r="M52" s="1"/>
      <c r="N52" s="1"/>
      <c r="O52" s="1"/>
      <c r="P52" s="1"/>
    </row>
    <row r="53" ht="21.0" customHeight="1">
      <c r="A53" s="1"/>
      <c r="B53" s="53">
        <v>9.0</v>
      </c>
      <c r="C53" s="133" t="s">
        <v>61</v>
      </c>
      <c r="D53" s="57"/>
      <c r="E53" s="81">
        <v>223.0</v>
      </c>
      <c r="F53" s="81">
        <v>231.0</v>
      </c>
      <c r="G53" s="81">
        <v>120.0</v>
      </c>
      <c r="H53" s="57"/>
      <c r="I53" s="57"/>
      <c r="J53" s="57"/>
      <c r="K53" s="1"/>
      <c r="L53" s="1"/>
      <c r="M53" s="1"/>
      <c r="N53" s="1"/>
      <c r="O53" s="1"/>
      <c r="P53" s="1"/>
    </row>
    <row r="54" ht="21.0" customHeight="1">
      <c r="A54" s="1"/>
      <c r="B54" s="214">
        <v>10.0</v>
      </c>
      <c r="C54" s="133" t="s">
        <v>85</v>
      </c>
      <c r="D54" s="135"/>
      <c r="E54" s="196">
        <v>20.0</v>
      </c>
      <c r="F54" s="196">
        <v>29.0</v>
      </c>
      <c r="G54" s="196">
        <v>49.0</v>
      </c>
      <c r="H54" s="53"/>
      <c r="I54" s="53"/>
      <c r="J54" s="53"/>
      <c r="K54" s="1"/>
      <c r="L54" s="1"/>
      <c r="M54" s="1"/>
      <c r="N54" s="1"/>
      <c r="O54" s="1"/>
      <c r="P54" s="1"/>
    </row>
    <row r="55" ht="21.0" customHeight="1">
      <c r="A55" s="1"/>
      <c r="B55" s="138" t="s">
        <v>45</v>
      </c>
      <c r="C55" s="56"/>
      <c r="D55" s="139"/>
      <c r="E55" s="140">
        <f t="shared" ref="E55:G55" si="24">SUM(E45:E54)</f>
        <v>335</v>
      </c>
      <c r="F55" s="140">
        <f t="shared" si="24"/>
        <v>333</v>
      </c>
      <c r="G55" s="140">
        <f t="shared" si="24"/>
        <v>211</v>
      </c>
      <c r="H55" s="140"/>
      <c r="I55" s="140"/>
      <c r="J55" s="140"/>
      <c r="K55" s="1"/>
      <c r="L55" s="1"/>
      <c r="M55" s="1"/>
      <c r="N55" s="1"/>
      <c r="O55" s="1"/>
      <c r="P55" s="1"/>
    </row>
    <row r="56" ht="21.0" customHeight="1">
      <c r="A56" s="1"/>
      <c r="B56" s="117" t="s">
        <v>62</v>
      </c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</row>
    <row r="57" ht="15.0" customHeight="1">
      <c r="A57" s="1"/>
      <c r="B57" s="117" t="s">
        <v>63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</row>
    <row r="58" ht="13.5" customHeight="1">
      <c r="A58" s="1"/>
      <c r="B58" s="117" t="s">
        <v>64</v>
      </c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</row>
  </sheetData>
  <mergeCells count="42">
    <mergeCell ref="N11:P13"/>
    <mergeCell ref="K12:M13"/>
    <mergeCell ref="E13:G13"/>
    <mergeCell ref="H13:J13"/>
    <mergeCell ref="H4:I4"/>
    <mergeCell ref="B10:P10"/>
    <mergeCell ref="B11:C11"/>
    <mergeCell ref="E11:M11"/>
    <mergeCell ref="B12:B14"/>
    <mergeCell ref="C12:C14"/>
    <mergeCell ref="E12:J12"/>
    <mergeCell ref="D15:F15"/>
    <mergeCell ref="D16:F16"/>
    <mergeCell ref="D17:F17"/>
    <mergeCell ref="D19:F19"/>
    <mergeCell ref="D20:F20"/>
    <mergeCell ref="D21:F21"/>
    <mergeCell ref="D22:F22"/>
    <mergeCell ref="D23:F23"/>
    <mergeCell ref="D24:F24"/>
    <mergeCell ref="D25:F25"/>
    <mergeCell ref="D26:F26"/>
    <mergeCell ref="B38:C38"/>
    <mergeCell ref="B40:J40"/>
    <mergeCell ref="D41:J41"/>
    <mergeCell ref="H42:H44"/>
    <mergeCell ref="I42:I44"/>
    <mergeCell ref="J42:J44"/>
    <mergeCell ref="E45:G45"/>
    <mergeCell ref="E47:G47"/>
    <mergeCell ref="E49:G49"/>
    <mergeCell ref="E50:G50"/>
    <mergeCell ref="E51:G51"/>
    <mergeCell ref="E52:G52"/>
    <mergeCell ref="B55:C55"/>
    <mergeCell ref="B41:C41"/>
    <mergeCell ref="B42:B44"/>
    <mergeCell ref="C42:C44"/>
    <mergeCell ref="D42:D44"/>
    <mergeCell ref="E42:E44"/>
    <mergeCell ref="F42:F44"/>
    <mergeCell ref="G42:G44"/>
  </mergeCells>
  <printOptions horizontalCentered="1"/>
  <pageMargins bottom="0.2018111254851229" footer="0.0" header="0.0" left="0.5213454075032341" right="0.5213454075032341" top="0.0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 fitToPage="1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5.63"/>
    <col customWidth="1" min="3" max="3" width="32.38"/>
    <col customWidth="1" min="4" max="4" width="9.13"/>
    <col customWidth="1" min="5" max="14" width="7.63"/>
    <col customWidth="1" min="15" max="15" width="10.38"/>
    <col customWidth="1" min="16" max="16" width="10.75"/>
  </cols>
  <sheetData>
    <row r="1" ht="13.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 t="s">
        <v>1</v>
      </c>
    </row>
    <row r="2" ht="14.25" customHeight="1">
      <c r="A2" s="1"/>
      <c r="B2" s="3" t="s">
        <v>2</v>
      </c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8.25" customHeight="1">
      <c r="A3" s="1"/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5.75" customHeight="1">
      <c r="A4" s="1"/>
      <c r="B4" s="1"/>
      <c r="C4" s="1"/>
      <c r="D4" s="1"/>
      <c r="E4" s="1"/>
      <c r="F4" s="4" t="s">
        <v>3</v>
      </c>
      <c r="G4" s="4"/>
      <c r="H4" s="141">
        <v>45992.0</v>
      </c>
      <c r="I4" s="6"/>
      <c r="J4" s="7"/>
      <c r="K4" s="7"/>
      <c r="L4" s="7"/>
      <c r="M4" s="7"/>
      <c r="N4" s="7"/>
      <c r="O4" s="7"/>
      <c r="P4" s="8"/>
    </row>
    <row r="5" ht="15.75" customHeight="1">
      <c r="A5" s="1"/>
      <c r="B5" s="1"/>
      <c r="C5" s="1"/>
      <c r="D5" s="1"/>
      <c r="E5" s="1"/>
      <c r="F5" s="4" t="s">
        <v>4</v>
      </c>
      <c r="G5" s="4"/>
      <c r="H5" s="9" t="s">
        <v>5</v>
      </c>
      <c r="I5" s="9"/>
      <c r="J5" s="9"/>
      <c r="K5" s="9"/>
      <c r="L5" s="9"/>
      <c r="M5" s="9"/>
      <c r="N5" s="9"/>
      <c r="O5" s="9"/>
      <c r="P5" s="8"/>
    </row>
    <row r="6" ht="15.75" customHeight="1">
      <c r="A6" s="1"/>
      <c r="B6" s="1"/>
      <c r="C6" s="1"/>
      <c r="D6" s="1"/>
      <c r="E6" s="1"/>
      <c r="F6" s="4" t="s">
        <v>6</v>
      </c>
      <c r="G6" s="4"/>
      <c r="H6" s="7"/>
      <c r="I6" s="7"/>
      <c r="J6" s="7"/>
      <c r="K6" s="7"/>
      <c r="L6" s="7"/>
      <c r="M6" s="7"/>
      <c r="N6" s="7"/>
      <c r="O6" s="7"/>
      <c r="P6" s="8"/>
    </row>
    <row r="7" ht="15.75" customHeight="1">
      <c r="A7" s="1"/>
      <c r="B7" s="1"/>
      <c r="C7" s="1"/>
      <c r="D7" s="10"/>
      <c r="E7" s="10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ht="15.75" customHeight="1">
      <c r="A8" s="1"/>
      <c r="B8" s="1"/>
      <c r="C8" s="1"/>
      <c r="D8" s="4"/>
      <c r="E8" s="4" t="s">
        <v>7</v>
      </c>
      <c r="F8" s="11"/>
      <c r="G8" s="8"/>
      <c r="H8" s="10"/>
      <c r="I8" s="10"/>
      <c r="J8" s="10"/>
      <c r="K8" s="10"/>
      <c r="L8" s="10"/>
      <c r="M8" s="10"/>
      <c r="N8" s="10"/>
      <c r="O8" s="10"/>
      <c r="P8" s="1"/>
    </row>
    <row r="9" ht="17.25" customHeight="1">
      <c r="A9" s="1"/>
      <c r="B9" s="1"/>
      <c r="C9" s="1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ht="17.25" customHeight="1">
      <c r="A10" s="1"/>
      <c r="B10" s="12" t="s">
        <v>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ht="16.5" customHeight="1">
      <c r="A11" s="1"/>
      <c r="B11" s="14" t="s">
        <v>9</v>
      </c>
      <c r="C11" s="15"/>
      <c r="D11" s="16"/>
      <c r="E11" s="17" t="s">
        <v>10</v>
      </c>
      <c r="F11" s="18"/>
      <c r="G11" s="18"/>
      <c r="H11" s="18"/>
      <c r="I11" s="18"/>
      <c r="J11" s="18"/>
      <c r="K11" s="18"/>
      <c r="L11" s="18"/>
      <c r="M11" s="19"/>
      <c r="N11" s="20" t="s">
        <v>11</v>
      </c>
      <c r="O11" s="21"/>
      <c r="P11" s="22"/>
    </row>
    <row r="12" ht="15.0" customHeight="1">
      <c r="A12" s="1"/>
      <c r="B12" s="23"/>
      <c r="C12" s="24" t="s">
        <v>12</v>
      </c>
      <c r="D12" s="25"/>
      <c r="E12" s="26" t="s">
        <v>13</v>
      </c>
      <c r="F12" s="27"/>
      <c r="G12" s="27"/>
      <c r="H12" s="27"/>
      <c r="I12" s="27"/>
      <c r="J12" s="27"/>
      <c r="K12" s="28" t="s">
        <v>14</v>
      </c>
      <c r="L12" s="29"/>
      <c r="M12" s="30"/>
      <c r="N12" s="31"/>
      <c r="P12" s="32"/>
    </row>
    <row r="13" ht="28.5" customHeight="1">
      <c r="A13" s="1"/>
      <c r="B13" s="33"/>
      <c r="C13" s="34"/>
      <c r="D13" s="35"/>
      <c r="E13" s="36" t="s">
        <v>15</v>
      </c>
      <c r="F13" s="37"/>
      <c r="G13" s="38"/>
      <c r="H13" s="36" t="s">
        <v>16</v>
      </c>
      <c r="I13" s="37"/>
      <c r="J13" s="38"/>
      <c r="K13" s="39"/>
      <c r="L13" s="40"/>
      <c r="M13" s="41"/>
      <c r="N13" s="42"/>
      <c r="O13" s="43"/>
      <c r="P13" s="44"/>
    </row>
    <row r="14" ht="36.75" customHeight="1">
      <c r="A14" s="1"/>
      <c r="B14" s="45"/>
      <c r="C14" s="46"/>
      <c r="D14" s="162" t="s">
        <v>17</v>
      </c>
      <c r="E14" s="163" t="s">
        <v>18</v>
      </c>
      <c r="F14" s="164" t="s">
        <v>19</v>
      </c>
      <c r="G14" s="50" t="s">
        <v>20</v>
      </c>
      <c r="H14" s="48" t="s">
        <v>18</v>
      </c>
      <c r="I14" s="51" t="s">
        <v>19</v>
      </c>
      <c r="J14" s="50" t="s">
        <v>20</v>
      </c>
      <c r="K14" s="48" t="s">
        <v>21</v>
      </c>
      <c r="L14" s="51" t="s">
        <v>19</v>
      </c>
      <c r="M14" s="52" t="s">
        <v>20</v>
      </c>
      <c r="N14" s="50" t="s">
        <v>18</v>
      </c>
      <c r="O14" s="50" t="s">
        <v>19</v>
      </c>
      <c r="P14" s="50" t="s">
        <v>20</v>
      </c>
    </row>
    <row r="15" ht="17.25" customHeight="1">
      <c r="A15" s="1"/>
      <c r="B15" s="53">
        <v>1.0</v>
      </c>
      <c r="C15" s="54" t="s">
        <v>22</v>
      </c>
      <c r="D15" s="55" t="s">
        <v>23</v>
      </c>
      <c r="E15" s="27"/>
      <c r="F15" s="56"/>
      <c r="G15" s="81">
        <v>0.0</v>
      </c>
      <c r="H15" s="57"/>
      <c r="I15" s="57"/>
      <c r="J15" s="81">
        <v>0.0</v>
      </c>
      <c r="K15" s="107">
        <v>0.0</v>
      </c>
      <c r="L15" s="197">
        <v>0.0</v>
      </c>
      <c r="M15" s="57">
        <f t="shared" ref="M15:M28" si="2">SUM(K15:L15)</f>
        <v>0</v>
      </c>
      <c r="N15" s="57">
        <f t="shared" ref="N15:P15" si="1">SUM(E15,H15,K15)</f>
        <v>0</v>
      </c>
      <c r="O15" s="57">
        <f t="shared" si="1"/>
        <v>0</v>
      </c>
      <c r="P15" s="57">
        <f t="shared" si="1"/>
        <v>0</v>
      </c>
    </row>
    <row r="16" ht="17.25" customHeight="1">
      <c r="A16" s="1"/>
      <c r="B16" s="60">
        <v>2.0</v>
      </c>
      <c r="C16" s="198" t="s">
        <v>24</v>
      </c>
      <c r="D16" s="55" t="s">
        <v>23</v>
      </c>
      <c r="E16" s="27"/>
      <c r="F16" s="56"/>
      <c r="G16" s="81">
        <v>0.0</v>
      </c>
      <c r="H16" s="64"/>
      <c r="I16" s="65"/>
      <c r="J16" s="81">
        <v>0.0</v>
      </c>
      <c r="K16" s="107">
        <v>0.0</v>
      </c>
      <c r="L16" s="197">
        <v>0.0</v>
      </c>
      <c r="M16" s="57">
        <f t="shared" si="2"/>
        <v>0</v>
      </c>
      <c r="N16" s="57">
        <f t="shared" ref="N16:P16" si="3">SUM(E16,H16,K16)</f>
        <v>0</v>
      </c>
      <c r="O16" s="57">
        <f t="shared" si="3"/>
        <v>0</v>
      </c>
      <c r="P16" s="57">
        <f t="shared" si="3"/>
        <v>0</v>
      </c>
    </row>
    <row r="17" ht="17.25" customHeight="1">
      <c r="A17" s="1"/>
      <c r="B17" s="67">
        <v>3.0</v>
      </c>
      <c r="C17" s="54" t="s">
        <v>25</v>
      </c>
      <c r="D17" s="55" t="s">
        <v>23</v>
      </c>
      <c r="E17" s="27"/>
      <c r="F17" s="56"/>
      <c r="G17" s="81">
        <v>0.0</v>
      </c>
      <c r="H17" s="70"/>
      <c r="I17" s="57"/>
      <c r="J17" s="81">
        <v>0.0</v>
      </c>
      <c r="K17" s="107">
        <v>0.0</v>
      </c>
      <c r="L17" s="197">
        <v>0.0</v>
      </c>
      <c r="M17" s="57">
        <f t="shared" si="2"/>
        <v>0</v>
      </c>
      <c r="N17" s="57">
        <f t="shared" ref="N17:P17" si="4">SUM(E17,H17,K17)</f>
        <v>0</v>
      </c>
      <c r="O17" s="57">
        <f t="shared" si="4"/>
        <v>0</v>
      </c>
      <c r="P17" s="57">
        <f t="shared" si="4"/>
        <v>0</v>
      </c>
    </row>
    <row r="18" ht="17.25" customHeight="1">
      <c r="A18" s="1"/>
      <c r="B18" s="67">
        <v>4.0</v>
      </c>
      <c r="C18" s="54" t="s">
        <v>26</v>
      </c>
      <c r="D18" s="71"/>
      <c r="E18" s="215">
        <v>214.0</v>
      </c>
      <c r="F18" s="216">
        <v>189.0</v>
      </c>
      <c r="G18" s="81">
        <v>403.0</v>
      </c>
      <c r="H18" s="70"/>
      <c r="I18" s="57"/>
      <c r="J18" s="81">
        <v>0.0</v>
      </c>
      <c r="K18" s="107">
        <v>0.0</v>
      </c>
      <c r="L18" s="197">
        <v>0.0</v>
      </c>
      <c r="M18" s="57">
        <f t="shared" si="2"/>
        <v>0</v>
      </c>
      <c r="N18" s="57">
        <f t="shared" ref="N18:P18" si="5">SUM(E18,H18,K18)</f>
        <v>214</v>
      </c>
      <c r="O18" s="57">
        <f t="shared" si="5"/>
        <v>189</v>
      </c>
      <c r="P18" s="57">
        <f t="shared" si="5"/>
        <v>403</v>
      </c>
    </row>
    <row r="19" ht="17.25" customHeight="1">
      <c r="A19" s="1"/>
      <c r="B19" s="67">
        <v>5.0</v>
      </c>
      <c r="C19" s="73" t="s">
        <v>27</v>
      </c>
      <c r="D19" s="74"/>
      <c r="E19" s="70"/>
      <c r="F19" s="75"/>
      <c r="G19" s="81">
        <v>1030.0</v>
      </c>
      <c r="H19" s="70"/>
      <c r="I19" s="57"/>
      <c r="J19" s="81">
        <v>0.0</v>
      </c>
      <c r="K19" s="107">
        <v>0.0</v>
      </c>
      <c r="L19" s="197">
        <v>0.0</v>
      </c>
      <c r="M19" s="57">
        <f t="shared" si="2"/>
        <v>0</v>
      </c>
      <c r="N19" s="57">
        <f t="shared" ref="N19:P19" si="6">SUM(E19,H19,K19)</f>
        <v>0</v>
      </c>
      <c r="O19" s="57">
        <f t="shared" si="6"/>
        <v>0</v>
      </c>
      <c r="P19" s="57">
        <f t="shared" si="6"/>
        <v>1030</v>
      </c>
    </row>
    <row r="20" ht="17.25" customHeight="1">
      <c r="A20" s="1"/>
      <c r="B20" s="67">
        <v>6.0</v>
      </c>
      <c r="C20" s="54" t="s">
        <v>28</v>
      </c>
      <c r="D20" s="199" t="s">
        <v>23</v>
      </c>
      <c r="E20" s="27"/>
      <c r="F20" s="56"/>
      <c r="G20" s="81">
        <v>0.0</v>
      </c>
      <c r="H20" s="70"/>
      <c r="I20" s="57"/>
      <c r="J20" s="81">
        <v>0.0</v>
      </c>
      <c r="K20" s="107">
        <v>0.0</v>
      </c>
      <c r="L20" s="197">
        <v>0.0</v>
      </c>
      <c r="M20" s="57">
        <f t="shared" si="2"/>
        <v>0</v>
      </c>
      <c r="N20" s="57">
        <f t="shared" ref="N20:P20" si="7">SUM(E20,H20,K20)</f>
        <v>0</v>
      </c>
      <c r="O20" s="57">
        <f t="shared" si="7"/>
        <v>0</v>
      </c>
      <c r="P20" s="57">
        <f t="shared" si="7"/>
        <v>0</v>
      </c>
    </row>
    <row r="21" ht="17.25" customHeight="1">
      <c r="A21" s="1"/>
      <c r="B21" s="67">
        <v>7.0</v>
      </c>
      <c r="C21" s="54" t="s">
        <v>29</v>
      </c>
      <c r="D21" s="199" t="s">
        <v>23</v>
      </c>
      <c r="E21" s="27"/>
      <c r="F21" s="56"/>
      <c r="G21" s="81">
        <v>0.0</v>
      </c>
      <c r="H21" s="70"/>
      <c r="I21" s="57"/>
      <c r="J21" s="81">
        <v>0.0</v>
      </c>
      <c r="K21" s="107">
        <v>0.0</v>
      </c>
      <c r="L21" s="197">
        <v>0.0</v>
      </c>
      <c r="M21" s="57">
        <f t="shared" si="2"/>
        <v>0</v>
      </c>
      <c r="N21" s="57">
        <f t="shared" ref="N21:P21" si="8">SUM(E21,H21,K21)</f>
        <v>0</v>
      </c>
      <c r="O21" s="57">
        <f t="shared" si="8"/>
        <v>0</v>
      </c>
      <c r="P21" s="57">
        <f t="shared" si="8"/>
        <v>0</v>
      </c>
    </row>
    <row r="22" ht="17.25" customHeight="1">
      <c r="A22" s="1"/>
      <c r="B22" s="67">
        <v>8.0</v>
      </c>
      <c r="C22" s="54" t="s">
        <v>30</v>
      </c>
      <c r="D22" s="55" t="s">
        <v>23</v>
      </c>
      <c r="E22" s="27"/>
      <c r="F22" s="56"/>
      <c r="G22" s="81">
        <v>0.0</v>
      </c>
      <c r="H22" s="70"/>
      <c r="I22" s="57"/>
      <c r="J22" s="81">
        <v>0.0</v>
      </c>
      <c r="K22" s="107">
        <v>0.0</v>
      </c>
      <c r="L22" s="197">
        <v>0.0</v>
      </c>
      <c r="M22" s="57">
        <f t="shared" si="2"/>
        <v>0</v>
      </c>
      <c r="N22" s="57">
        <f t="shared" ref="N22:P22" si="9">SUM(E22,H22,K22)</f>
        <v>0</v>
      </c>
      <c r="O22" s="57">
        <f t="shared" si="9"/>
        <v>0</v>
      </c>
      <c r="P22" s="57">
        <f t="shared" si="9"/>
        <v>0</v>
      </c>
    </row>
    <row r="23" ht="17.25" customHeight="1">
      <c r="A23" s="1"/>
      <c r="B23" s="67">
        <v>9.0</v>
      </c>
      <c r="C23" s="54" t="s">
        <v>31</v>
      </c>
      <c r="D23" s="199" t="s">
        <v>23</v>
      </c>
      <c r="E23" s="27"/>
      <c r="F23" s="56"/>
      <c r="G23" s="81">
        <v>0.0</v>
      </c>
      <c r="H23" s="70"/>
      <c r="I23" s="57"/>
      <c r="J23" s="81">
        <v>0.0</v>
      </c>
      <c r="K23" s="107">
        <v>0.0</v>
      </c>
      <c r="L23" s="197">
        <v>0.0</v>
      </c>
      <c r="M23" s="57">
        <f t="shared" si="2"/>
        <v>0</v>
      </c>
      <c r="N23" s="57">
        <f t="shared" ref="N23:P23" si="10">SUM(E23,H23,K23)</f>
        <v>0</v>
      </c>
      <c r="O23" s="57">
        <f t="shared" si="10"/>
        <v>0</v>
      </c>
      <c r="P23" s="57">
        <f t="shared" si="10"/>
        <v>0</v>
      </c>
    </row>
    <row r="24" ht="17.25" customHeight="1">
      <c r="A24" s="1"/>
      <c r="B24" s="67">
        <v>10.0</v>
      </c>
      <c r="C24" s="146" t="s">
        <v>32</v>
      </c>
      <c r="D24" s="199" t="s">
        <v>23</v>
      </c>
      <c r="E24" s="27"/>
      <c r="F24" s="56"/>
      <c r="G24" s="81">
        <v>0.0</v>
      </c>
      <c r="H24" s="70"/>
      <c r="I24" s="57"/>
      <c r="J24" s="81">
        <v>0.0</v>
      </c>
      <c r="K24" s="107">
        <v>0.0</v>
      </c>
      <c r="L24" s="197">
        <v>0.0</v>
      </c>
      <c r="M24" s="57">
        <f t="shared" si="2"/>
        <v>0</v>
      </c>
      <c r="N24" s="57">
        <f t="shared" ref="N24:P24" si="11">SUM(E24,H24,K24)</f>
        <v>0</v>
      </c>
      <c r="O24" s="57">
        <f t="shared" si="11"/>
        <v>0</v>
      </c>
      <c r="P24" s="57">
        <f t="shared" si="11"/>
        <v>0</v>
      </c>
    </row>
    <row r="25" ht="17.25" customHeight="1">
      <c r="A25" s="1"/>
      <c r="B25" s="67">
        <v>11.0</v>
      </c>
      <c r="C25" s="54" t="s">
        <v>65</v>
      </c>
      <c r="D25" s="199" t="s">
        <v>23</v>
      </c>
      <c r="E25" s="27"/>
      <c r="F25" s="56"/>
      <c r="G25" s="81">
        <v>0.0</v>
      </c>
      <c r="H25" s="70"/>
      <c r="I25" s="57"/>
      <c r="J25" s="81">
        <v>0.0</v>
      </c>
      <c r="K25" s="107">
        <v>0.0</v>
      </c>
      <c r="L25" s="197">
        <v>0.0</v>
      </c>
      <c r="M25" s="57">
        <f t="shared" si="2"/>
        <v>0</v>
      </c>
      <c r="N25" s="57">
        <f t="shared" ref="N25:P25" si="12">SUM(E25,H25,K25)</f>
        <v>0</v>
      </c>
      <c r="O25" s="57">
        <f t="shared" si="12"/>
        <v>0</v>
      </c>
      <c r="P25" s="57">
        <f t="shared" si="12"/>
        <v>0</v>
      </c>
    </row>
    <row r="26" ht="17.25" customHeight="1">
      <c r="A26" s="1"/>
      <c r="B26" s="67">
        <v>12.0</v>
      </c>
      <c r="C26" s="54" t="s">
        <v>66</v>
      </c>
      <c r="D26" s="71"/>
      <c r="E26" s="107">
        <v>510.0</v>
      </c>
      <c r="F26" s="147">
        <v>373.0</v>
      </c>
      <c r="G26" s="81">
        <v>885.0</v>
      </c>
      <c r="H26" s="70"/>
      <c r="I26" s="57"/>
      <c r="J26" s="81">
        <v>0.0</v>
      </c>
      <c r="K26" s="107">
        <v>0.0</v>
      </c>
      <c r="L26" s="197">
        <v>0.0</v>
      </c>
      <c r="M26" s="57">
        <f t="shared" si="2"/>
        <v>0</v>
      </c>
      <c r="N26" s="57">
        <f t="shared" ref="N26:P26" si="13">SUM(E26,H26,K26)</f>
        <v>510</v>
      </c>
      <c r="O26" s="57">
        <f t="shared" si="13"/>
        <v>373</v>
      </c>
      <c r="P26" s="57">
        <f t="shared" si="13"/>
        <v>885</v>
      </c>
    </row>
    <row r="27" ht="17.25" customHeight="1">
      <c r="A27" s="1"/>
      <c r="B27" s="67">
        <v>13.0</v>
      </c>
      <c r="C27" s="54" t="s">
        <v>35</v>
      </c>
      <c r="D27" s="199" t="s">
        <v>23</v>
      </c>
      <c r="E27" s="27"/>
      <c r="F27" s="56"/>
      <c r="G27" s="81">
        <v>0.0</v>
      </c>
      <c r="H27" s="70"/>
      <c r="I27" s="57"/>
      <c r="J27" s="81">
        <v>0.0</v>
      </c>
      <c r="K27" s="107">
        <v>0.0</v>
      </c>
      <c r="L27" s="197">
        <v>0.0</v>
      </c>
      <c r="M27" s="57">
        <f t="shared" si="2"/>
        <v>0</v>
      </c>
      <c r="N27" s="57">
        <f t="shared" ref="N27:P27" si="14">SUM(E27,H27,K27)</f>
        <v>0</v>
      </c>
      <c r="O27" s="57">
        <f t="shared" si="14"/>
        <v>0</v>
      </c>
      <c r="P27" s="57">
        <f t="shared" si="14"/>
        <v>0</v>
      </c>
    </row>
    <row r="28" ht="17.25" customHeight="1">
      <c r="A28" s="1"/>
      <c r="B28" s="67">
        <v>14.0</v>
      </c>
      <c r="C28" s="54" t="s">
        <v>36</v>
      </c>
      <c r="D28" s="199" t="s">
        <v>23</v>
      </c>
      <c r="E28" s="27"/>
      <c r="F28" s="56"/>
      <c r="G28" s="81">
        <v>0.0</v>
      </c>
      <c r="H28" s="70"/>
      <c r="I28" s="57"/>
      <c r="J28" s="81">
        <v>0.0</v>
      </c>
      <c r="K28" s="107">
        <v>0.0</v>
      </c>
      <c r="L28" s="197">
        <v>0.0</v>
      </c>
      <c r="M28" s="57">
        <f t="shared" si="2"/>
        <v>0</v>
      </c>
      <c r="N28" s="57">
        <f t="shared" ref="N28:P28" si="15">SUM(E28,H28,K28)</f>
        <v>0</v>
      </c>
      <c r="O28" s="57">
        <f t="shared" si="15"/>
        <v>0</v>
      </c>
      <c r="P28" s="57">
        <f t="shared" si="15"/>
        <v>0</v>
      </c>
    </row>
    <row r="29" ht="17.25" customHeight="1">
      <c r="A29" s="1"/>
      <c r="B29" s="67"/>
      <c r="C29" s="217"/>
      <c r="D29" s="168"/>
      <c r="E29" s="80"/>
      <c r="F29" s="57"/>
      <c r="G29" s="82"/>
      <c r="H29" s="70"/>
      <c r="I29" s="57"/>
      <c r="J29" s="82"/>
      <c r="K29" s="70"/>
      <c r="L29" s="53"/>
      <c r="M29" s="57"/>
      <c r="N29" s="57"/>
      <c r="O29" s="57"/>
      <c r="P29" s="57"/>
    </row>
    <row r="30" ht="17.25" customHeight="1">
      <c r="A30" s="1"/>
      <c r="B30" s="83"/>
      <c r="C30" s="84" t="s">
        <v>37</v>
      </c>
      <c r="D30" s="85"/>
      <c r="E30" s="86"/>
      <c r="F30" s="87"/>
      <c r="G30" s="88"/>
      <c r="H30" s="86"/>
      <c r="I30" s="87"/>
      <c r="J30" s="88"/>
      <c r="K30" s="86"/>
      <c r="L30" s="89"/>
      <c r="M30" s="87"/>
      <c r="N30" s="87"/>
      <c r="O30" s="87"/>
      <c r="P30" s="87"/>
    </row>
    <row r="31" ht="17.25" customHeight="1">
      <c r="A31" s="1"/>
      <c r="B31" s="67">
        <v>1.0</v>
      </c>
      <c r="C31" s="90" t="s">
        <v>38</v>
      </c>
      <c r="D31" s="199" t="s">
        <v>23</v>
      </c>
      <c r="E31" s="27"/>
      <c r="F31" s="56"/>
      <c r="G31" s="81">
        <v>0.0</v>
      </c>
      <c r="H31" s="80"/>
      <c r="I31" s="57"/>
      <c r="J31" s="81">
        <v>0.0</v>
      </c>
      <c r="K31" s="107">
        <v>0.0</v>
      </c>
      <c r="L31" s="197">
        <v>0.0</v>
      </c>
      <c r="M31" s="57">
        <f t="shared" ref="M31:M37" si="17">SUM(K31:L31)</f>
        <v>0</v>
      </c>
      <c r="N31" s="57">
        <f t="shared" ref="N31:P31" si="16">SUM(E31,H31,K31)</f>
        <v>0</v>
      </c>
      <c r="O31" s="57">
        <f t="shared" si="16"/>
        <v>0</v>
      </c>
      <c r="P31" s="57">
        <f t="shared" si="16"/>
        <v>0</v>
      </c>
    </row>
    <row r="32" ht="17.25" customHeight="1">
      <c r="A32" s="1"/>
      <c r="B32" s="67">
        <v>2.0</v>
      </c>
      <c r="C32" s="92" t="s">
        <v>39</v>
      </c>
      <c r="D32" s="93"/>
      <c r="E32" s="94"/>
      <c r="F32" s="95"/>
      <c r="G32" s="96">
        <v>8146.0</v>
      </c>
      <c r="H32" s="97"/>
      <c r="I32" s="98"/>
      <c r="J32" s="205">
        <v>0.0</v>
      </c>
      <c r="K32" s="202">
        <v>0.0</v>
      </c>
      <c r="L32" s="204">
        <v>0.0</v>
      </c>
      <c r="M32" s="98">
        <f t="shared" si="17"/>
        <v>0</v>
      </c>
      <c r="N32" s="95">
        <f t="shared" ref="N32:P32" si="18">SUM(E32,H32,K32)</f>
        <v>0</v>
      </c>
      <c r="O32" s="95">
        <f t="shared" si="18"/>
        <v>0</v>
      </c>
      <c r="P32" s="95">
        <f t="shared" si="18"/>
        <v>8146</v>
      </c>
    </row>
    <row r="33" ht="17.25" customHeight="1">
      <c r="A33" s="1"/>
      <c r="B33" s="67">
        <v>3.0</v>
      </c>
      <c r="C33" s="101" t="s">
        <v>40</v>
      </c>
      <c r="D33" s="75"/>
      <c r="E33" s="102"/>
      <c r="F33" s="103"/>
      <c r="G33" s="104">
        <v>4678.0</v>
      </c>
      <c r="H33" s="80"/>
      <c r="I33" s="57"/>
      <c r="J33" s="81">
        <v>0.0</v>
      </c>
      <c r="K33" s="107">
        <v>0.0</v>
      </c>
      <c r="L33" s="197">
        <v>0.0</v>
      </c>
      <c r="M33" s="57">
        <f t="shared" si="17"/>
        <v>0</v>
      </c>
      <c r="N33" s="103">
        <f t="shared" ref="N33:P33" si="19">SUM(E33,H33,K33)</f>
        <v>0</v>
      </c>
      <c r="O33" s="103">
        <f t="shared" si="19"/>
        <v>0</v>
      </c>
      <c r="P33" s="103">
        <f t="shared" si="19"/>
        <v>4678</v>
      </c>
    </row>
    <row r="34" ht="17.25" customHeight="1">
      <c r="A34" s="1"/>
      <c r="B34" s="67">
        <v>4.0</v>
      </c>
      <c r="C34" s="106" t="s">
        <v>41</v>
      </c>
      <c r="D34" s="75"/>
      <c r="E34" s="102"/>
      <c r="F34" s="103"/>
      <c r="G34" s="104">
        <v>11378.0</v>
      </c>
      <c r="H34" s="80"/>
      <c r="I34" s="57"/>
      <c r="J34" s="81">
        <v>0.0</v>
      </c>
      <c r="K34" s="107">
        <v>0.0</v>
      </c>
      <c r="L34" s="197">
        <v>0.0</v>
      </c>
      <c r="M34" s="57">
        <f t="shared" si="17"/>
        <v>0</v>
      </c>
      <c r="N34" s="103">
        <f t="shared" ref="N34:P34" si="20">SUM(E34,H34,K34)</f>
        <v>0</v>
      </c>
      <c r="O34" s="103">
        <f t="shared" si="20"/>
        <v>0</v>
      </c>
      <c r="P34" s="103">
        <f t="shared" si="20"/>
        <v>11378</v>
      </c>
    </row>
    <row r="35" ht="17.25" customHeight="1">
      <c r="A35" s="1"/>
      <c r="B35" s="67">
        <v>5.0</v>
      </c>
      <c r="C35" s="106" t="s">
        <v>42</v>
      </c>
      <c r="D35" s="199" t="s">
        <v>23</v>
      </c>
      <c r="E35" s="27"/>
      <c r="F35" s="56"/>
      <c r="G35" s="81">
        <v>0.0</v>
      </c>
      <c r="H35" s="80"/>
      <c r="I35" s="57"/>
      <c r="J35" s="81">
        <v>0.0</v>
      </c>
      <c r="K35" s="107">
        <v>0.0</v>
      </c>
      <c r="L35" s="197">
        <v>0.0</v>
      </c>
      <c r="M35" s="57">
        <f t="shared" si="17"/>
        <v>0</v>
      </c>
      <c r="N35" s="57">
        <f t="shared" ref="N35:P35" si="21">SUM(E35,H35,K35)</f>
        <v>0</v>
      </c>
      <c r="O35" s="57">
        <f t="shared" si="21"/>
        <v>0</v>
      </c>
      <c r="P35" s="57">
        <f t="shared" si="21"/>
        <v>0</v>
      </c>
    </row>
    <row r="36" ht="17.25" customHeight="1">
      <c r="A36" s="1"/>
      <c r="B36" s="67">
        <v>6.0</v>
      </c>
      <c r="C36" s="106" t="s">
        <v>43</v>
      </c>
      <c r="D36" s="199" t="s">
        <v>23</v>
      </c>
      <c r="E36" s="27"/>
      <c r="F36" s="56"/>
      <c r="G36" s="81">
        <v>0.0</v>
      </c>
      <c r="H36" s="70"/>
      <c r="I36" s="57"/>
      <c r="J36" s="81">
        <v>0.0</v>
      </c>
      <c r="K36" s="107">
        <v>0.0</v>
      </c>
      <c r="L36" s="197">
        <v>0.0</v>
      </c>
      <c r="M36" s="57">
        <f t="shared" si="17"/>
        <v>0</v>
      </c>
      <c r="N36" s="57">
        <f t="shared" ref="N36:P36" si="22">SUM(E36,H36,K36)</f>
        <v>0</v>
      </c>
      <c r="O36" s="57">
        <f t="shared" si="22"/>
        <v>0</v>
      </c>
      <c r="P36" s="57">
        <f t="shared" si="22"/>
        <v>0</v>
      </c>
    </row>
    <row r="37" ht="17.25" customHeight="1">
      <c r="A37" s="1"/>
      <c r="B37" s="176"/>
      <c r="C37" s="106" t="s">
        <v>103</v>
      </c>
      <c r="D37" s="75"/>
      <c r="E37" s="70"/>
      <c r="F37" s="57"/>
      <c r="G37" s="81">
        <v>0.0</v>
      </c>
      <c r="H37" s="70"/>
      <c r="I37" s="57"/>
      <c r="J37" s="81">
        <v>0.0</v>
      </c>
      <c r="K37" s="107">
        <v>0.0</v>
      </c>
      <c r="L37" s="197">
        <v>0.0</v>
      </c>
      <c r="M37" s="57">
        <f t="shared" si="17"/>
        <v>0</v>
      </c>
      <c r="N37" s="57">
        <f t="shared" ref="N37:P37" si="23">SUM(E37,H37,K37)</f>
        <v>0</v>
      </c>
      <c r="O37" s="57">
        <f t="shared" si="23"/>
        <v>0</v>
      </c>
      <c r="P37" s="57">
        <f t="shared" si="23"/>
        <v>0</v>
      </c>
    </row>
    <row r="38" ht="24.0" customHeight="1">
      <c r="A38" s="1"/>
      <c r="B38" s="112" t="s">
        <v>45</v>
      </c>
      <c r="C38" s="113"/>
      <c r="D38" s="114"/>
      <c r="E38" s="115">
        <f t="shared" ref="E38:P38" si="24">SUM(E15:E37)</f>
        <v>724</v>
      </c>
      <c r="F38" s="116">
        <f t="shared" si="24"/>
        <v>562</v>
      </c>
      <c r="G38" s="115">
        <f t="shared" si="24"/>
        <v>26520</v>
      </c>
      <c r="H38" s="115">
        <f t="shared" si="24"/>
        <v>0</v>
      </c>
      <c r="I38" s="115">
        <f t="shared" si="24"/>
        <v>0</v>
      </c>
      <c r="J38" s="115">
        <f t="shared" si="24"/>
        <v>0</v>
      </c>
      <c r="K38" s="115">
        <f t="shared" si="24"/>
        <v>0</v>
      </c>
      <c r="L38" s="115">
        <f t="shared" si="24"/>
        <v>0</v>
      </c>
      <c r="M38" s="115">
        <f t="shared" si="24"/>
        <v>0</v>
      </c>
      <c r="N38" s="115">
        <f t="shared" si="24"/>
        <v>724</v>
      </c>
      <c r="O38" s="115">
        <f t="shared" si="24"/>
        <v>562</v>
      </c>
      <c r="P38" s="115">
        <f t="shared" si="24"/>
        <v>26520</v>
      </c>
    </row>
    <row r="39" ht="15.75" customHeight="1">
      <c r="A39" s="1"/>
      <c r="B39" s="117" t="s">
        <v>46</v>
      </c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</row>
    <row r="40" ht="21.0" customHeight="1">
      <c r="A40" s="1"/>
      <c r="B40" s="118" t="s">
        <v>47</v>
      </c>
      <c r="C40" s="27"/>
      <c r="D40" s="27"/>
      <c r="E40" s="27"/>
      <c r="F40" s="27"/>
      <c r="G40" s="27"/>
      <c r="H40" s="27"/>
      <c r="I40" s="27"/>
      <c r="J40" s="56"/>
      <c r="K40" s="119"/>
      <c r="L40" s="119"/>
      <c r="M40" s="119"/>
      <c r="N40" s="119"/>
      <c r="O40" s="119"/>
      <c r="P40" s="119"/>
    </row>
    <row r="41" ht="21.0" customHeight="1">
      <c r="A41" s="1"/>
      <c r="B41" s="120" t="s">
        <v>9</v>
      </c>
      <c r="C41" s="56"/>
      <c r="D41" s="121">
        <v>45992.0</v>
      </c>
      <c r="E41" s="27"/>
      <c r="F41" s="27"/>
      <c r="G41" s="27"/>
      <c r="H41" s="27"/>
      <c r="I41" s="27"/>
      <c r="J41" s="56"/>
      <c r="K41" s="1"/>
      <c r="L41" s="1"/>
      <c r="M41" s="1"/>
      <c r="N41" s="1"/>
      <c r="O41" s="1"/>
      <c r="P41" s="1"/>
    </row>
    <row r="42" ht="21.0" customHeight="1">
      <c r="A42" s="1"/>
      <c r="B42" s="122"/>
      <c r="C42" s="123" t="s">
        <v>12</v>
      </c>
      <c r="D42" s="124" t="s">
        <v>17</v>
      </c>
      <c r="E42" s="125" t="s">
        <v>104</v>
      </c>
      <c r="F42" s="125" t="s">
        <v>105</v>
      </c>
      <c r="G42" s="125" t="s">
        <v>106</v>
      </c>
      <c r="H42" s="126" t="s">
        <v>51</v>
      </c>
      <c r="I42" s="126" t="s">
        <v>52</v>
      </c>
      <c r="J42" s="126" t="s">
        <v>53</v>
      </c>
      <c r="K42" s="1"/>
      <c r="L42" s="1"/>
      <c r="M42" s="1"/>
      <c r="N42" s="1"/>
      <c r="O42" s="1"/>
      <c r="P42" s="1"/>
    </row>
    <row r="43" ht="26.25" customHeight="1">
      <c r="A43" s="1"/>
      <c r="B43" s="34"/>
      <c r="C43" s="34"/>
      <c r="D43" s="34"/>
      <c r="E43" s="34"/>
      <c r="F43" s="34"/>
      <c r="G43" s="34"/>
      <c r="H43" s="34"/>
      <c r="I43" s="34"/>
      <c r="J43" s="34"/>
      <c r="K43" s="1"/>
      <c r="L43" s="1"/>
      <c r="M43" s="1"/>
      <c r="N43" s="1"/>
      <c r="O43" s="1"/>
      <c r="P43" s="1"/>
    </row>
    <row r="44" ht="47.25" customHeight="1">
      <c r="A44" s="1"/>
      <c r="B44" s="46"/>
      <c r="C44" s="46"/>
      <c r="D44" s="46"/>
      <c r="E44" s="46"/>
      <c r="F44" s="46"/>
      <c r="G44" s="46"/>
      <c r="H44" s="46"/>
      <c r="I44" s="46"/>
      <c r="J44" s="46"/>
      <c r="K44" s="1"/>
      <c r="L44" s="1"/>
      <c r="M44" s="1"/>
      <c r="N44" s="1"/>
      <c r="O44" s="1"/>
      <c r="P44" s="1"/>
    </row>
    <row r="45" ht="21.0" customHeight="1">
      <c r="A45" s="1"/>
      <c r="B45" s="53">
        <v>1.0</v>
      </c>
      <c r="C45" s="127" t="s">
        <v>54</v>
      </c>
      <c r="D45" s="57"/>
      <c r="E45" s="104">
        <v>1172.0</v>
      </c>
      <c r="F45" s="81">
        <v>591.0</v>
      </c>
      <c r="G45" s="104">
        <v>1763.0</v>
      </c>
      <c r="H45" s="57"/>
      <c r="I45" s="57"/>
      <c r="J45" s="57"/>
      <c r="K45" s="1"/>
      <c r="L45" s="1"/>
      <c r="M45" s="1"/>
      <c r="N45" s="1"/>
      <c r="O45" s="1"/>
      <c r="P45" s="1"/>
    </row>
    <row r="46" ht="27.0" customHeight="1">
      <c r="A46" s="128"/>
      <c r="B46" s="129">
        <v>2.0</v>
      </c>
      <c r="C46" s="73" t="s">
        <v>27</v>
      </c>
      <c r="D46" s="130"/>
      <c r="E46" s="149">
        <v>87.0</v>
      </c>
      <c r="F46" s="149">
        <v>87.0</v>
      </c>
      <c r="G46" s="149">
        <v>27.0</v>
      </c>
      <c r="H46" s="131"/>
      <c r="I46" s="131"/>
      <c r="J46" s="131"/>
      <c r="K46" s="132"/>
      <c r="L46" s="132"/>
      <c r="M46" s="132"/>
      <c r="N46" s="132"/>
      <c r="O46" s="132"/>
      <c r="P46" s="132"/>
    </row>
    <row r="47" ht="21.0" customHeight="1">
      <c r="A47" s="1"/>
      <c r="B47" s="53">
        <v>3.0</v>
      </c>
      <c r="C47" s="133" t="s">
        <v>55</v>
      </c>
      <c r="D47" s="57"/>
      <c r="E47" s="199" t="s">
        <v>23</v>
      </c>
      <c r="F47" s="27"/>
      <c r="G47" s="56"/>
      <c r="H47" s="57"/>
      <c r="I47" s="57"/>
      <c r="J47" s="57"/>
      <c r="K47" s="1"/>
      <c r="L47" s="1"/>
      <c r="M47" s="1"/>
      <c r="N47" s="1"/>
      <c r="O47" s="1"/>
      <c r="P47" s="1"/>
    </row>
    <row r="48" ht="21.0" customHeight="1">
      <c r="A48" s="1"/>
      <c r="B48" s="53">
        <v>4.0</v>
      </c>
      <c r="C48" s="218" t="s">
        <v>56</v>
      </c>
      <c r="D48" s="57"/>
      <c r="E48" s="81">
        <v>274.0</v>
      </c>
      <c r="F48" s="81">
        <v>544.0</v>
      </c>
      <c r="G48" s="81">
        <v>296.0</v>
      </c>
      <c r="H48" s="57"/>
      <c r="I48" s="57"/>
      <c r="J48" s="57"/>
      <c r="K48" s="1"/>
      <c r="L48" s="1"/>
      <c r="M48" s="1"/>
      <c r="N48" s="1"/>
      <c r="O48" s="1"/>
      <c r="P48" s="1"/>
    </row>
    <row r="49" ht="21.0" customHeight="1">
      <c r="A49" s="1"/>
      <c r="B49" s="53">
        <v>5.0</v>
      </c>
      <c r="C49" s="127" t="s">
        <v>57</v>
      </c>
      <c r="D49" s="135"/>
      <c r="E49" s="206" t="s">
        <v>95</v>
      </c>
      <c r="F49" s="27"/>
      <c r="G49" s="56"/>
      <c r="H49" s="53"/>
      <c r="I49" s="53"/>
      <c r="J49" s="53"/>
      <c r="K49" s="1"/>
      <c r="L49" s="1"/>
      <c r="M49" s="1"/>
      <c r="N49" s="1"/>
      <c r="O49" s="1"/>
      <c r="P49" s="1"/>
    </row>
    <row r="50" ht="21.0" customHeight="1">
      <c r="A50" s="1"/>
      <c r="B50" s="53">
        <v>6.0</v>
      </c>
      <c r="C50" s="218" t="s">
        <v>58</v>
      </c>
      <c r="D50" s="57"/>
      <c r="E50" s="199" t="s">
        <v>23</v>
      </c>
      <c r="F50" s="27"/>
      <c r="G50" s="56"/>
      <c r="H50" s="57"/>
      <c r="I50" s="57"/>
      <c r="J50" s="57"/>
      <c r="K50" s="1"/>
      <c r="L50" s="1"/>
      <c r="M50" s="1"/>
      <c r="N50" s="1"/>
      <c r="O50" s="1"/>
      <c r="P50" s="1"/>
    </row>
    <row r="51" ht="21.0" customHeight="1">
      <c r="A51" s="1"/>
      <c r="B51" s="53">
        <v>7.0</v>
      </c>
      <c r="C51" s="137" t="s">
        <v>59</v>
      </c>
      <c r="D51" s="57"/>
      <c r="E51" s="199" t="s">
        <v>23</v>
      </c>
      <c r="F51" s="27"/>
      <c r="G51" s="56"/>
      <c r="H51" s="57"/>
      <c r="I51" s="57"/>
      <c r="J51" s="57"/>
      <c r="K51" s="1"/>
      <c r="L51" s="1"/>
      <c r="M51" s="1"/>
      <c r="N51" s="1"/>
      <c r="O51" s="1"/>
      <c r="P51" s="1"/>
    </row>
    <row r="52" ht="21.0" customHeight="1">
      <c r="A52" s="1"/>
      <c r="B52" s="53">
        <v>8.0</v>
      </c>
      <c r="C52" s="218" t="s">
        <v>60</v>
      </c>
      <c r="D52" s="57"/>
      <c r="E52" s="199" t="s">
        <v>23</v>
      </c>
      <c r="F52" s="27"/>
      <c r="G52" s="56"/>
      <c r="H52" s="57"/>
      <c r="I52" s="57"/>
      <c r="J52" s="57"/>
      <c r="K52" s="1"/>
      <c r="L52" s="1"/>
      <c r="M52" s="1"/>
      <c r="N52" s="1"/>
      <c r="O52" s="1"/>
      <c r="P52" s="1"/>
    </row>
    <row r="53" ht="21.0" customHeight="1">
      <c r="A53" s="1"/>
      <c r="B53" s="53">
        <v>9.0</v>
      </c>
      <c r="C53" s="218" t="s">
        <v>61</v>
      </c>
      <c r="D53" s="57"/>
      <c r="E53" s="219">
        <v>187.0</v>
      </c>
      <c r="F53" s="219">
        <v>265.0</v>
      </c>
      <c r="G53" s="219">
        <v>138.0</v>
      </c>
      <c r="H53" s="57"/>
      <c r="I53" s="57"/>
      <c r="J53" s="57"/>
      <c r="K53" s="1"/>
      <c r="L53" s="1"/>
      <c r="M53" s="1"/>
      <c r="N53" s="1"/>
      <c r="O53" s="1"/>
      <c r="P53" s="1"/>
    </row>
    <row r="54" ht="21.0" customHeight="1">
      <c r="A54" s="1"/>
      <c r="B54" s="138" t="s">
        <v>45</v>
      </c>
      <c r="C54" s="56"/>
      <c r="D54" s="139"/>
      <c r="E54" s="220">
        <f t="shared" ref="E54:G54" si="25">SUM(E45:E53)</f>
        <v>1720</v>
      </c>
      <c r="F54" s="140">
        <f t="shared" si="25"/>
        <v>1487</v>
      </c>
      <c r="G54" s="220">
        <f t="shared" si="25"/>
        <v>2224</v>
      </c>
      <c r="H54" s="140"/>
      <c r="I54" s="140"/>
      <c r="J54" s="140"/>
      <c r="K54" s="1"/>
      <c r="L54" s="1"/>
      <c r="M54" s="1"/>
      <c r="N54" s="1"/>
      <c r="O54" s="1"/>
      <c r="P54" s="1"/>
    </row>
    <row r="55" ht="21.0" customHeight="1">
      <c r="A55" s="1"/>
      <c r="B55" s="117" t="s">
        <v>62</v>
      </c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</row>
    <row r="56" ht="15.0" customHeight="1">
      <c r="A56" s="1"/>
      <c r="B56" s="117" t="s">
        <v>63</v>
      </c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</row>
    <row r="57" ht="13.5" customHeight="1">
      <c r="A57" s="1"/>
      <c r="B57" s="117" t="s">
        <v>64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</row>
  </sheetData>
  <mergeCells count="44">
    <mergeCell ref="I42:I44"/>
    <mergeCell ref="J42:J44"/>
    <mergeCell ref="E47:G47"/>
    <mergeCell ref="E49:G49"/>
    <mergeCell ref="E50:G50"/>
    <mergeCell ref="E51:G51"/>
    <mergeCell ref="E52:G52"/>
    <mergeCell ref="B54:C54"/>
    <mergeCell ref="B38:C38"/>
    <mergeCell ref="B40:J40"/>
    <mergeCell ref="B41:C41"/>
    <mergeCell ref="D41:J41"/>
    <mergeCell ref="B42:B44"/>
    <mergeCell ref="C42:C44"/>
    <mergeCell ref="D42:D44"/>
    <mergeCell ref="N11:P13"/>
    <mergeCell ref="K12:M13"/>
    <mergeCell ref="E13:G13"/>
    <mergeCell ref="H13:J13"/>
    <mergeCell ref="H4:I4"/>
    <mergeCell ref="B10:P10"/>
    <mergeCell ref="B11:C11"/>
    <mergeCell ref="E11:M11"/>
    <mergeCell ref="B12:B14"/>
    <mergeCell ref="C12:C14"/>
    <mergeCell ref="E12:J12"/>
    <mergeCell ref="D15:F15"/>
    <mergeCell ref="D16:F16"/>
    <mergeCell ref="D17:F17"/>
    <mergeCell ref="D20:F20"/>
    <mergeCell ref="D21:F21"/>
    <mergeCell ref="D22:F22"/>
    <mergeCell ref="D23:F23"/>
    <mergeCell ref="D24:F24"/>
    <mergeCell ref="D25:F25"/>
    <mergeCell ref="D27:F27"/>
    <mergeCell ref="D28:F28"/>
    <mergeCell ref="D31:F31"/>
    <mergeCell ref="D35:F35"/>
    <mergeCell ref="D36:F36"/>
    <mergeCell ref="E42:E44"/>
    <mergeCell ref="F42:F44"/>
    <mergeCell ref="G42:G44"/>
    <mergeCell ref="H42:H44"/>
  </mergeCells>
  <printOptions horizontalCentered="1"/>
  <pageMargins bottom="0.2018111254851229" footer="0.0" header="0.0" left="0.5213454075032341" right="0.5213454075032341" top="0.0"/>
  <pageSetup fitToHeight="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52.88"/>
    <col customWidth="1" min="3" max="3" width="15.0"/>
    <col customWidth="1" min="5" max="5" width="13.88"/>
  </cols>
  <sheetData>
    <row r="3">
      <c r="A3" s="221"/>
      <c r="B3" s="222" t="s">
        <v>12</v>
      </c>
      <c r="C3" s="222" t="s">
        <v>107</v>
      </c>
      <c r="E3" s="223" t="s">
        <v>108</v>
      </c>
    </row>
    <row r="4">
      <c r="A4" s="53">
        <v>1.0</v>
      </c>
      <c r="B4" s="54" t="s">
        <v>22</v>
      </c>
      <c r="C4" s="224">
        <f>'JANUARY 2025'!P15+'FEBRUARY 2025'!P15+'MARCH 2025'!P15+'APRIL 2025'!P15+'MAY 2025'!P15+'JUNE 2025'!P15+'JULY 2025'!P15+'AUGUST 2025'!P15+'SEPTEMBER 2025'!P15+'OCTOBER 2025'!P15+'NOVEMBER 2025'!P15+'DECEMBER 2025'!P15</f>
        <v>0</v>
      </c>
      <c r="E4" s="221">
        <f>'JANUARY 2025'!P38+'FEBRUARY 2025'!P38+'MARCH 2025'!P38+'APRIL 2025'!P38+'MAY 2025'!P38+'JUNE 2025'!P38+'JULY 2025'!P38+'AUGUST 2025'!P38+'SEPTEMBER 2025'!P38+'OCTOBER 2025'!P38+'NOVEMBER 2025'!P38+'DECEMBER 2025'!P38</f>
        <v>478994</v>
      </c>
    </row>
    <row r="5">
      <c r="A5" s="53">
        <v>2.0</v>
      </c>
      <c r="B5" s="54" t="s">
        <v>24</v>
      </c>
      <c r="C5" s="224">
        <f>'JANUARY 2025'!P16+'FEBRUARY 2025'!P16+'MARCH 2025'!P16+'APRIL 2025'!P16+'MAY 2025'!P16+'JUNE 2025'!P16+'JULY 2025'!P16+'AUGUST 2025'!P16+'SEPTEMBER 2025'!P16+'OCTOBER 2025'!P16+'NOVEMBER 2025'!P16+'DECEMBER 2025'!P16</f>
        <v>0</v>
      </c>
      <c r="E5" s="225"/>
    </row>
    <row r="6">
      <c r="A6" s="53">
        <v>3.0</v>
      </c>
      <c r="B6" s="54" t="s">
        <v>25</v>
      </c>
      <c r="C6" s="224">
        <f>'JANUARY 2025'!P17+'FEBRUARY 2025'!P17+'MARCH 2025'!P17+'APRIL 2025'!P17+'MAY 2025'!P17+'JUNE 2025'!P17+'JULY 2025'!P17+'AUGUST 2025'!P17+'SEPTEMBER 2025'!P17+'OCTOBER 2025'!P17+'NOVEMBER 2025'!P17+'DECEMBER 2025'!P17</f>
        <v>2532</v>
      </c>
      <c r="E6" s="223" t="s">
        <v>109</v>
      </c>
    </row>
    <row r="7">
      <c r="A7" s="53">
        <v>4.0</v>
      </c>
      <c r="B7" s="54" t="s">
        <v>26</v>
      </c>
      <c r="C7" s="224">
        <f>'JANUARY 2025'!P18+'FEBRUARY 2025'!P18+'MARCH 2025'!P18+'APRIL 2025'!P18+'MAY 2025'!P18+'JUNE 2025'!P18+'JULY 2025'!P18+'AUGUST 2025'!P18+'SEPTEMBER 2025'!P18+'OCTOBER 2025'!P18+'NOVEMBER 2025'!P18+'DECEMBER 2025'!P18</f>
        <v>5490</v>
      </c>
      <c r="E7" s="221">
        <f>sum('JANUARY 2025'!F54+'FEBRUARY 2025'!F54+'MARCH 2025'!F54+'APRIL 2025'!F54+'MAY 2025'!F54+'JULY 2025'!F55+'AUGUST 2025'!F55+'SEPTEMBER 2025'!F55+'OCTOBER 2025'!F55+'NOVEMBER 2025'!F55+'DECEMBER 2025'!F54)</f>
        <v>16641</v>
      </c>
    </row>
    <row r="8">
      <c r="A8" s="53">
        <v>5.0</v>
      </c>
      <c r="B8" s="54" t="s">
        <v>27</v>
      </c>
      <c r="C8" s="224">
        <f>'JANUARY 2025'!P19+'FEBRUARY 2025'!P19+'MARCH 2025'!P19+'APRIL 2025'!P19+'MAY 2025'!P19+'JUNE 2025'!P19+'JULY 2025'!P19+'AUGUST 2025'!P19+'SEPTEMBER 2025'!P19+'OCTOBER 2025'!P19+'NOVEMBER 2025'!P19+'DECEMBER 2025'!P19</f>
        <v>7385</v>
      </c>
      <c r="E8" s="225"/>
    </row>
    <row r="9">
      <c r="A9" s="53">
        <v>6.0</v>
      </c>
      <c r="B9" s="54" t="s">
        <v>28</v>
      </c>
      <c r="C9" s="224">
        <f>'JANUARY 2025'!P20+'FEBRUARY 2025'!P20+'MARCH 2025'!P20+'APRIL 2025'!P20+'MAY 2025'!P20+'JUNE 2025'!P20+'JULY 2025'!P20+'AUGUST 2025'!P20+'SEPTEMBER 2025'!P20+'OCTOBER 2025'!P20+'NOVEMBER 2025'!P20+'DECEMBER 2025'!P20</f>
        <v>0</v>
      </c>
      <c r="E9" s="223" t="s">
        <v>110</v>
      </c>
    </row>
    <row r="10">
      <c r="A10" s="53">
        <v>7.0</v>
      </c>
      <c r="B10" s="54" t="s">
        <v>29</v>
      </c>
      <c r="C10" s="224">
        <f>'JANUARY 2025'!P21+'FEBRUARY 2025'!P21+'MARCH 2025'!P21+'APRIL 2025'!P21+'MAY 2025'!P21+'JUNE 2025'!P21+'JULY 2025'!P21+'AUGUST 2025'!P21+'SEPTEMBER 2025'!P21+'OCTOBER 2025'!P21+'NOVEMBER 2025'!P21+'DECEMBER 2025'!P21</f>
        <v>0</v>
      </c>
      <c r="E10" s="221">
        <f>E4+E7</f>
        <v>495635</v>
      </c>
    </row>
    <row r="11">
      <c r="A11" s="53">
        <v>8.0</v>
      </c>
      <c r="B11" s="54" t="s">
        <v>30</v>
      </c>
      <c r="C11" s="226">
        <f>'JANUARY 2025'!P22+'FEBRUARY 2025'!P22+'MARCH 2025'!P22+'APRIL 2025'!P22+'MAY 2025'!P22+'JUNE 2025'!P22+'JULY 2025'!P22+'AUGUST 2025'!P22+'SEPTEMBER 2025'!P22+'OCTOBER 2025'!P22+'NOVEMBER 2025'!P22+'DECEMBER 2025'!P22</f>
        <v>17244</v>
      </c>
    </row>
    <row r="12">
      <c r="A12" s="53">
        <v>9.0</v>
      </c>
      <c r="B12" s="54" t="s">
        <v>31</v>
      </c>
      <c r="C12" s="224">
        <f>'JANUARY 2025'!P23+'FEBRUARY 2025'!P23+'MARCH 2025'!P23+'APRIL 2025'!P23+'MAY 2025'!P23+'JUNE 2025'!P23+'JULY 2025'!P23+'AUGUST 2025'!P23+'SEPTEMBER 2025'!P23+'OCTOBER 2025'!P23+'NOVEMBER 2025'!P23+'DECEMBER 2025'!P23</f>
        <v>0</v>
      </c>
      <c r="E12" s="227" t="s">
        <v>111</v>
      </c>
    </row>
    <row r="13">
      <c r="A13" s="53">
        <v>10.0</v>
      </c>
      <c r="B13" s="54" t="s">
        <v>32</v>
      </c>
      <c r="C13" s="224">
        <f>'JANUARY 2025'!P24+'FEBRUARY 2025'!P24+'MARCH 2025'!P24+'APRIL 2025'!P24+'MAY 2025'!P24+'JUNE 2025'!P24+'JULY 2025'!P24+'AUGUST 2025'!P24+'SEPTEMBER 2025'!P24+'OCTOBER 2025'!P24+'NOVEMBER 2025'!P24+'DECEMBER 2025'!P24</f>
        <v>1773</v>
      </c>
      <c r="E13" s="227">
        <f>'JANUARY 2025'!N38+'FEBRUARY 2025'!N38+'MARCH 2025'!N38+'APRIL 2025'!N38+'MAY 2025'!N38+'JUNE 2025'!N38+'JULY 2025'!N38+'AUGUST 2025'!N38+'SEPTEMBER 2025'!N38+'OCTOBER 2025'!N38+'NOVEMBER 2025'!N38+'DECEMBER 2025'!N38</f>
        <v>24508</v>
      </c>
    </row>
    <row r="14">
      <c r="A14" s="53">
        <v>11.0</v>
      </c>
      <c r="B14" s="54" t="s">
        <v>65</v>
      </c>
      <c r="C14" s="224">
        <f>'JANUARY 2025'!P25+'FEBRUARY 2025'!P25+'MARCH 2025'!P25+'APRIL 2025'!P25+'MAY 2025'!P25+'JUNE 2025'!P25+'JULY 2025'!P25+'AUGUST 2025'!P25+'SEPTEMBER 2025'!P25+'OCTOBER 2025'!P25+'NOVEMBER 2025'!P25+'DECEMBER 2025'!P25</f>
        <v>1074</v>
      </c>
      <c r="E14" s="228"/>
    </row>
    <row r="15">
      <c r="A15" s="53">
        <v>12.0</v>
      </c>
      <c r="B15" s="54" t="s">
        <v>66</v>
      </c>
      <c r="C15" s="224">
        <f>'JANUARY 2025'!P26+'FEBRUARY 2025'!P26+'MARCH 2025'!P26+'APRIL 2025'!P26+'MAY 2025'!P26+'JUNE 2025'!P26+'JULY 2025'!P26+'AUGUST 2025'!P26+'SEPTEMBER 2025'!P26+'OCTOBER 2025'!P26+'NOVEMBER 2025'!P26+'DECEMBER 2025'!P26</f>
        <v>4503</v>
      </c>
      <c r="E15" s="227" t="s">
        <v>112</v>
      </c>
    </row>
    <row r="16">
      <c r="A16" s="53">
        <v>13.0</v>
      </c>
      <c r="B16" s="54" t="s">
        <v>35</v>
      </c>
      <c r="C16" s="224">
        <f>'JANUARY 2025'!P27+'FEBRUARY 2025'!P27+'MARCH 2025'!P27+'APRIL 2025'!P27+'MAY 2025'!P27+'JUNE 2025'!P27+'JULY 2025'!P27+'AUGUST 2025'!P27+'SEPTEMBER 2025'!P27+'OCTOBER 2025'!P27+'NOVEMBER 2025'!P27+'DECEMBER 2025'!P27</f>
        <v>9315</v>
      </c>
      <c r="E16" s="227">
        <f>'JANUARY 2025'!O38+'FEBRUARY 2025'!O38+'MARCH 2025'!O38+'APRIL 2025'!O38+'MAY 2025'!O38+'JUNE 2025'!O38+'JULY 2025'!O38+'AUGUST 2025'!O38+'SEPTEMBER 2025'!O38+'OCTOBER 2025'!O38+'NOVEMBER 2025'!O38+'DECEMBER 2025'!O38</f>
        <v>23908</v>
      </c>
    </row>
    <row r="17">
      <c r="A17" s="53">
        <v>14.0</v>
      </c>
      <c r="B17" s="54" t="s">
        <v>36</v>
      </c>
      <c r="C17" s="224">
        <f>'JANUARY 2025'!P28+'FEBRUARY 2025'!P28+'MARCH 2025'!P28+'APRIL 2025'!P28+'MAY 2025'!P28+'JUNE 2025'!P28+'JULY 2025'!P28+'AUGUST 2025'!P28+'SEPTEMBER 2025'!P28+'OCTOBER 2025'!P28+'NOVEMBER 2025'!P28+'DECEMBER 2025'!P28</f>
        <v>750</v>
      </c>
      <c r="E17" s="228"/>
    </row>
    <row r="18">
      <c r="A18" s="196">
        <v>15.0</v>
      </c>
      <c r="B18" s="133" t="s">
        <v>85</v>
      </c>
      <c r="C18" s="224">
        <f>'JANUARY 2025'!P29+'FEBRUARY 2025'!P29+'MARCH 2025'!P29+'APRIL 2025'!P29+'MAY 2025'!P29+'JUNE 2025'!P29+'JULY 2025'!P29+'AUGUST 2025'!P29+'SEPTEMBER 2025'!P29+'OCTOBER 2025'!P29+'NOVEMBER 2025'!P29+'DECEMBER 2025'!P29</f>
        <v>220</v>
      </c>
      <c r="E18" s="229" t="s">
        <v>113</v>
      </c>
    </row>
    <row r="19">
      <c r="A19" s="53"/>
      <c r="B19" s="217"/>
      <c r="C19" s="224"/>
      <c r="E19" s="227">
        <f>E13+E16</f>
        <v>48416</v>
      </c>
    </row>
    <row r="20">
      <c r="A20" s="89"/>
      <c r="B20" s="84" t="s">
        <v>37</v>
      </c>
      <c r="C20" s="230"/>
    </row>
    <row r="21">
      <c r="A21" s="53">
        <v>1.0</v>
      </c>
      <c r="B21" s="169" t="s">
        <v>38</v>
      </c>
      <c r="C21" s="224">
        <f>'JANUARY 2025'!P31+'FEBRUARY 2025'!P31+'MARCH 2025'!P31+'APRIL 2025'!P31+'MAY 2025'!P31+'JUNE 2025'!P31+'JULY 2025'!P31+'AUGUST 2025'!P31+'SEPTEMBER 2025'!P31+'OCTOBER 2025'!P31+'NOVEMBER 2025'!P31+'DECEMBER 2025'!P31</f>
        <v>2323</v>
      </c>
    </row>
    <row r="22">
      <c r="A22" s="53">
        <v>2.0</v>
      </c>
      <c r="B22" s="170" t="s">
        <v>39</v>
      </c>
      <c r="C22" s="231">
        <f>'JANUARY 2025'!P32+'FEBRUARY 2025'!P32+'MARCH 2025'!P32+'APRIL 2025'!P32+'MAY 2025'!P32+'JUNE 2025'!P32+'JULY 2025'!P32+'AUGUST 2025'!P32+'SEPTEMBER 2025'!P32+'OCTOBER 2025'!P32+'NOVEMBER 2025'!P32+'DECEMBER 2025'!P32</f>
        <v>148175</v>
      </c>
    </row>
    <row r="23">
      <c r="A23" s="53">
        <v>3.0</v>
      </c>
      <c r="B23" s="169" t="s">
        <v>40</v>
      </c>
      <c r="C23" s="226">
        <f>'JANUARY 2025'!P33+'FEBRUARY 2025'!P33+'MARCH 2025'!P33+'APRIL 2025'!P33+'MAY 2025'!P33+'JUNE 2025'!P33+'JULY 2025'!P33+'AUGUST 2025'!P33+'SEPTEMBER 2025'!P33+'OCTOBER 2025'!P33+'NOVEMBER 2025'!P33+'DECEMBER 2025'!P33</f>
        <v>61845</v>
      </c>
    </row>
    <row r="24">
      <c r="A24" s="53">
        <v>4.0</v>
      </c>
      <c r="B24" s="169" t="s">
        <v>41</v>
      </c>
      <c r="C24" s="226">
        <f>'JANUARY 2025'!P34+'FEBRUARY 2025'!P34+'MARCH 2025'!P34+'APRIL 2025'!P34+'MAY 2025'!P34+'JUNE 2025'!P34+'JULY 2025'!P34+'AUGUST 2025'!P34+'SEPTEMBER 2025'!P34+'OCTOBER 2025'!P34+'NOVEMBER 2025'!P34+'DECEMBER 2025'!P34</f>
        <v>147633</v>
      </c>
    </row>
    <row r="25">
      <c r="A25" s="53">
        <v>5.0</v>
      </c>
      <c r="B25" s="169" t="s">
        <v>42</v>
      </c>
      <c r="C25" s="224">
        <f>'JANUARY 2025'!P35+'FEBRUARY 2025'!P35+'MARCH 2025'!P35+'APRIL 2025'!P35+'MAY 2025'!P35+'JUNE 2025'!P35+'JULY 2025'!P35+'AUGUST 2025'!P35+'SEPTEMBER 2025'!P35+'OCTOBER 2025'!P35+'NOVEMBER 2025'!P35+'DECEMBER 2025'!P35</f>
        <v>920</v>
      </c>
    </row>
    <row r="26">
      <c r="A26" s="53">
        <v>6.0</v>
      </c>
      <c r="B26" s="169" t="s">
        <v>43</v>
      </c>
      <c r="C26" s="226">
        <f>'JANUARY 2025'!P36+'FEBRUARY 2025'!P36+'MARCH 2025'!P36+'APRIL 2025'!P36+'MAY 2025'!P36+'JUNE 2025'!P36+'JULY 2025'!P36+'AUGUST 2025'!P36+'SEPTEMBER 2025'!P36+'OCTOBER 2025'!P36+'NOVEMBER 2025'!P36+'DECEMBER 2025'!P36</f>
        <v>21207</v>
      </c>
    </row>
    <row r="27">
      <c r="A27" s="53"/>
      <c r="B27" s="169" t="s">
        <v>44</v>
      </c>
      <c r="C27" s="226">
        <f>'JANUARY 2025'!P37+'FEBRUARY 2025'!P37+'MARCH 2025'!P37+'APRIL 2025'!P37+'MAY 2025'!P37+'JUNE 2025'!P37+'JULY 2025'!P37+'AUGUST 2025'!P37+'SEPTEMBER 2025'!P37+'OCTOBER 2025'!P37+'NOVEMBER 2025'!P37+'DECEMBER 2025'!P37</f>
        <v>46605</v>
      </c>
    </row>
    <row r="28">
      <c r="A28" s="53"/>
      <c r="B28" s="230"/>
      <c r="C28" s="224"/>
    </row>
    <row r="29">
      <c r="A29" s="138" t="s">
        <v>45</v>
      </c>
      <c r="B29" s="56"/>
      <c r="C29" s="224">
        <f>sum(C4:C28)</f>
        <v>478994</v>
      </c>
    </row>
  </sheetData>
  <mergeCells count="1">
    <mergeCell ref="A29:B2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2023-02-02T02:25:32Z</dcterms:created>
  <dc:creator>Weng</dc:creator>
</cp:coreProperties>
</file>